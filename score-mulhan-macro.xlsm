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oran\Desktop\"/>
    </mc:Choice>
  </mc:AlternateContent>
  <xr:revisionPtr revIDLastSave="0" documentId="13_ncr:1_{F4915F5F-64E0-4C2D-A13A-CDE7CF860306}" xr6:coauthVersionLast="47" xr6:coauthVersionMax="47" xr10:uidLastSave="{00000000-0000-0000-0000-000000000000}"/>
  <bookViews>
    <workbookView xWindow="-120" yWindow="-120" windowWidth="29040" windowHeight="15720" xr2:uid="{98F309DC-E6C6-4A60-AE61-D9E37F23A1F0}"/>
  </bookViews>
  <sheets>
    <sheet name="Score joueurs" sheetId="3" r:id="rId1"/>
    <sheet name="Repas" sheetId="5" r:id="rId2"/>
    <sheet name="Counter Strike 2" sheetId="1" r:id="rId3"/>
    <sheet name="Teamfight tactics" sheetId="2" r:id="rId4"/>
    <sheet name="Prophunt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33" i="2" l="1"/>
  <c r="CB33" i="2"/>
  <c r="CC32" i="2"/>
  <c r="CB32" i="2"/>
  <c r="CC31" i="2"/>
  <c r="CB31" i="2"/>
  <c r="CC30" i="2"/>
  <c r="CB30" i="2"/>
  <c r="CC29" i="2"/>
  <c r="CB29" i="2"/>
  <c r="CC28" i="2"/>
  <c r="CB28" i="2"/>
  <c r="CC27" i="2"/>
  <c r="CB27" i="2"/>
  <c r="CC26" i="2"/>
  <c r="CB26" i="2"/>
  <c r="CC25" i="2"/>
  <c r="CB25" i="2"/>
  <c r="CC24" i="2"/>
  <c r="CB24" i="2"/>
  <c r="CC23" i="2"/>
  <c r="CB23" i="2"/>
  <c r="CC22" i="2"/>
  <c r="CB22" i="2"/>
  <c r="CC21" i="2"/>
  <c r="CB21" i="2"/>
  <c r="CC20" i="2"/>
  <c r="CB20" i="2"/>
  <c r="CC19" i="2"/>
  <c r="CB19" i="2"/>
  <c r="CC18" i="2"/>
  <c r="CB18" i="2"/>
  <c r="CC17" i="2"/>
  <c r="CB17" i="2"/>
  <c r="CC16" i="2"/>
  <c r="CB16" i="2"/>
  <c r="CC15" i="2"/>
  <c r="CB15" i="2"/>
  <c r="CC14" i="2"/>
  <c r="CB14" i="2"/>
  <c r="CC13" i="2"/>
  <c r="CB13" i="2"/>
  <c r="CC12" i="2"/>
  <c r="CB12" i="2"/>
  <c r="CC11" i="2"/>
  <c r="CB11" i="2"/>
  <c r="CC10" i="2"/>
  <c r="CB10" i="2"/>
  <c r="CC9" i="2"/>
  <c r="CB9" i="2"/>
  <c r="CC8" i="2"/>
  <c r="CB8" i="2"/>
  <c r="CC7" i="2"/>
  <c r="CB7" i="2"/>
  <c r="CC6" i="2"/>
  <c r="CB6" i="2"/>
  <c r="CC5" i="2"/>
  <c r="CB5" i="2"/>
  <c r="CC4" i="2"/>
  <c r="CB4" i="2"/>
  <c r="CC3" i="2"/>
  <c r="CB3" i="2"/>
  <c r="CC2" i="2"/>
  <c r="CB2" i="2"/>
  <c r="BY33" i="2"/>
  <c r="BX33" i="2"/>
  <c r="BY32" i="2"/>
  <c r="BX32" i="2"/>
  <c r="BY31" i="2"/>
  <c r="BX31" i="2"/>
  <c r="BY30" i="2"/>
  <c r="BX30" i="2"/>
  <c r="BY29" i="2"/>
  <c r="BX29" i="2"/>
  <c r="BY28" i="2"/>
  <c r="BX28" i="2"/>
  <c r="BY27" i="2"/>
  <c r="BX27" i="2"/>
  <c r="BY26" i="2"/>
  <c r="BX26" i="2"/>
  <c r="BY25" i="2"/>
  <c r="BX25" i="2"/>
  <c r="BY24" i="2"/>
  <c r="BX24" i="2"/>
  <c r="BY23" i="2"/>
  <c r="BX23" i="2"/>
  <c r="BY22" i="2"/>
  <c r="BX22" i="2"/>
  <c r="BY21" i="2"/>
  <c r="BX21" i="2"/>
  <c r="BY20" i="2"/>
  <c r="BX20" i="2"/>
  <c r="BY19" i="2"/>
  <c r="BX19" i="2"/>
  <c r="BY18" i="2"/>
  <c r="BX18" i="2"/>
  <c r="BY17" i="2"/>
  <c r="BX17" i="2"/>
  <c r="BY16" i="2"/>
  <c r="BX16" i="2"/>
  <c r="BY15" i="2"/>
  <c r="BX15" i="2"/>
  <c r="BY14" i="2"/>
  <c r="BX14" i="2"/>
  <c r="BY13" i="2"/>
  <c r="BX13" i="2"/>
  <c r="BY12" i="2"/>
  <c r="BX12" i="2"/>
  <c r="BY11" i="2"/>
  <c r="BX11" i="2"/>
  <c r="BY10" i="2"/>
  <c r="BX10" i="2"/>
  <c r="BY9" i="2"/>
  <c r="BX9" i="2"/>
  <c r="BY8" i="2"/>
  <c r="BX8" i="2"/>
  <c r="BY7" i="2"/>
  <c r="BX7" i="2"/>
  <c r="BY6" i="2"/>
  <c r="BX6" i="2"/>
  <c r="BY5" i="2"/>
  <c r="BX5" i="2"/>
  <c r="BY4" i="2"/>
  <c r="BX4" i="2"/>
  <c r="BY3" i="2"/>
  <c r="BX3" i="2"/>
  <c r="BY2" i="2"/>
  <c r="BX2" i="2"/>
  <c r="BU33" i="2"/>
  <c r="BT33" i="2"/>
  <c r="BU32" i="2"/>
  <c r="BT32" i="2"/>
  <c r="BU31" i="2"/>
  <c r="BT31" i="2"/>
  <c r="BU30" i="2"/>
  <c r="BT30" i="2"/>
  <c r="BU29" i="2"/>
  <c r="BT29" i="2"/>
  <c r="BU28" i="2"/>
  <c r="BT28" i="2"/>
  <c r="BU27" i="2"/>
  <c r="BT27" i="2"/>
  <c r="BU26" i="2"/>
  <c r="BT26" i="2"/>
  <c r="BU25" i="2"/>
  <c r="BT25" i="2"/>
  <c r="BU24" i="2"/>
  <c r="BT24" i="2"/>
  <c r="BU23" i="2"/>
  <c r="BT23" i="2"/>
  <c r="BU22" i="2"/>
  <c r="BT22" i="2"/>
  <c r="BU21" i="2"/>
  <c r="BT21" i="2"/>
  <c r="BU20" i="2"/>
  <c r="BT20" i="2"/>
  <c r="BU19" i="2"/>
  <c r="BT19" i="2"/>
  <c r="BU18" i="2"/>
  <c r="BT18" i="2"/>
  <c r="BU17" i="2"/>
  <c r="BT17" i="2"/>
  <c r="BU16" i="2"/>
  <c r="BT16" i="2"/>
  <c r="BU15" i="2"/>
  <c r="BT15" i="2"/>
  <c r="BU14" i="2"/>
  <c r="BT14" i="2"/>
  <c r="BU13" i="2"/>
  <c r="BT13" i="2"/>
  <c r="BU12" i="2"/>
  <c r="BT12" i="2"/>
  <c r="BU11" i="2"/>
  <c r="BT11" i="2"/>
  <c r="BU10" i="2"/>
  <c r="BT10" i="2"/>
  <c r="BU9" i="2"/>
  <c r="BT9" i="2"/>
  <c r="BU8" i="2"/>
  <c r="BT8" i="2"/>
  <c r="BU7" i="2"/>
  <c r="BT7" i="2"/>
  <c r="BU6" i="2"/>
  <c r="BT6" i="2"/>
  <c r="BU5" i="2"/>
  <c r="BT5" i="2"/>
  <c r="BU4" i="2"/>
  <c r="BT4" i="2"/>
  <c r="BU3" i="2"/>
  <c r="BT3" i="2"/>
  <c r="BU2" i="2"/>
  <c r="BT2" i="2"/>
  <c r="BQ33" i="2"/>
  <c r="BP33" i="2"/>
  <c r="BQ32" i="2"/>
  <c r="BP32" i="2"/>
  <c r="BQ31" i="2"/>
  <c r="BP31" i="2"/>
  <c r="BQ30" i="2"/>
  <c r="BP30" i="2"/>
  <c r="BQ29" i="2"/>
  <c r="BP29" i="2"/>
  <c r="BQ28" i="2"/>
  <c r="BP28" i="2"/>
  <c r="BQ27" i="2"/>
  <c r="BP27" i="2"/>
  <c r="BQ26" i="2"/>
  <c r="BP26" i="2"/>
  <c r="BQ25" i="2"/>
  <c r="BP25" i="2"/>
  <c r="BQ24" i="2"/>
  <c r="BP24" i="2"/>
  <c r="BQ23" i="2"/>
  <c r="BP23" i="2"/>
  <c r="BQ22" i="2"/>
  <c r="BP22" i="2"/>
  <c r="BQ21" i="2"/>
  <c r="BP21" i="2"/>
  <c r="BQ20" i="2"/>
  <c r="BP20" i="2"/>
  <c r="BQ19" i="2"/>
  <c r="BP19" i="2"/>
  <c r="BQ18" i="2"/>
  <c r="BP18" i="2"/>
  <c r="BQ17" i="2"/>
  <c r="BP17" i="2"/>
  <c r="BQ16" i="2"/>
  <c r="BP16" i="2"/>
  <c r="BQ15" i="2"/>
  <c r="BP15" i="2"/>
  <c r="BQ14" i="2"/>
  <c r="BP14" i="2"/>
  <c r="BQ13" i="2"/>
  <c r="BP13" i="2"/>
  <c r="BQ12" i="2"/>
  <c r="BP12" i="2"/>
  <c r="BQ11" i="2"/>
  <c r="BP11" i="2"/>
  <c r="BQ10" i="2"/>
  <c r="BP10" i="2"/>
  <c r="BQ9" i="2"/>
  <c r="BP9" i="2"/>
  <c r="BQ8" i="2"/>
  <c r="BP8" i="2"/>
  <c r="BQ7" i="2"/>
  <c r="BP7" i="2"/>
  <c r="BQ6" i="2"/>
  <c r="BP6" i="2"/>
  <c r="BQ5" i="2"/>
  <c r="BP5" i="2"/>
  <c r="BQ4" i="2"/>
  <c r="BP4" i="2"/>
  <c r="BQ3" i="2"/>
  <c r="BP3" i="2"/>
  <c r="BQ2" i="2"/>
  <c r="BP2" i="2"/>
  <c r="BM33" i="2"/>
  <c r="BL33" i="2"/>
  <c r="BM32" i="2"/>
  <c r="BL32" i="2"/>
  <c r="BM31" i="2"/>
  <c r="BL31" i="2"/>
  <c r="BM30" i="2"/>
  <c r="BL30" i="2"/>
  <c r="BM29" i="2"/>
  <c r="BL29" i="2"/>
  <c r="BM28" i="2"/>
  <c r="BL28" i="2"/>
  <c r="BM27" i="2"/>
  <c r="BL27" i="2"/>
  <c r="BM26" i="2"/>
  <c r="BL26" i="2"/>
  <c r="BM25" i="2"/>
  <c r="BL25" i="2"/>
  <c r="BM24" i="2"/>
  <c r="BL24" i="2"/>
  <c r="BM23" i="2"/>
  <c r="BL23" i="2"/>
  <c r="BM22" i="2"/>
  <c r="BL22" i="2"/>
  <c r="BM21" i="2"/>
  <c r="BL21" i="2"/>
  <c r="BM20" i="2"/>
  <c r="BL20" i="2"/>
  <c r="BM19" i="2"/>
  <c r="BL19" i="2"/>
  <c r="BM18" i="2"/>
  <c r="BL18" i="2"/>
  <c r="BM17" i="2"/>
  <c r="BL17" i="2"/>
  <c r="BM16" i="2"/>
  <c r="BL16" i="2"/>
  <c r="BM15" i="2"/>
  <c r="BL15" i="2"/>
  <c r="BM14" i="2"/>
  <c r="BL14" i="2"/>
  <c r="BM13" i="2"/>
  <c r="BL13" i="2"/>
  <c r="BM12" i="2"/>
  <c r="BL12" i="2"/>
  <c r="BM11" i="2"/>
  <c r="BL11" i="2"/>
  <c r="BM10" i="2"/>
  <c r="BL10" i="2"/>
  <c r="BM9" i="2"/>
  <c r="BL9" i="2"/>
  <c r="BM8" i="2"/>
  <c r="BL8" i="2"/>
  <c r="BM7" i="2"/>
  <c r="BL7" i="2"/>
  <c r="BM6" i="2"/>
  <c r="BL6" i="2"/>
  <c r="BM5" i="2"/>
  <c r="BL5" i="2"/>
  <c r="BM4" i="2"/>
  <c r="BL4" i="2"/>
  <c r="BM3" i="2"/>
  <c r="BL3" i="2"/>
  <c r="BM2" i="2"/>
  <c r="BL2" i="2"/>
  <c r="BI33" i="2"/>
  <c r="BH33" i="2"/>
  <c r="BI32" i="2"/>
  <c r="BH32" i="2"/>
  <c r="BI31" i="2"/>
  <c r="BH31" i="2"/>
  <c r="BI30" i="2"/>
  <c r="BH30" i="2"/>
  <c r="BI29" i="2"/>
  <c r="BH29" i="2"/>
  <c r="BI28" i="2"/>
  <c r="BH28" i="2"/>
  <c r="BI27" i="2"/>
  <c r="BH27" i="2"/>
  <c r="BI26" i="2"/>
  <c r="BH26" i="2"/>
  <c r="BI25" i="2"/>
  <c r="BH25" i="2"/>
  <c r="BI24" i="2"/>
  <c r="BH24" i="2"/>
  <c r="BI23" i="2"/>
  <c r="BH23" i="2"/>
  <c r="BI22" i="2"/>
  <c r="BH22" i="2"/>
  <c r="BI21" i="2"/>
  <c r="BH21" i="2"/>
  <c r="BI20" i="2"/>
  <c r="BH20" i="2"/>
  <c r="BI19" i="2"/>
  <c r="BH19" i="2"/>
  <c r="BI18" i="2"/>
  <c r="BH18" i="2"/>
  <c r="BI17" i="2"/>
  <c r="BH17" i="2"/>
  <c r="BI16" i="2"/>
  <c r="BH16" i="2"/>
  <c r="BI15" i="2"/>
  <c r="BH15" i="2"/>
  <c r="BI14" i="2"/>
  <c r="BH14" i="2"/>
  <c r="BI13" i="2"/>
  <c r="BH13" i="2"/>
  <c r="BI12" i="2"/>
  <c r="BH12" i="2"/>
  <c r="BI11" i="2"/>
  <c r="BH11" i="2"/>
  <c r="BI10" i="2"/>
  <c r="BH10" i="2"/>
  <c r="BI9" i="2"/>
  <c r="BH9" i="2"/>
  <c r="BI8" i="2"/>
  <c r="BH8" i="2"/>
  <c r="BI7" i="2"/>
  <c r="BH7" i="2"/>
  <c r="BI6" i="2"/>
  <c r="BH6" i="2"/>
  <c r="BI5" i="2"/>
  <c r="BH5" i="2"/>
  <c r="BI4" i="2"/>
  <c r="BH4" i="2"/>
  <c r="BI3" i="2"/>
  <c r="BH3" i="2"/>
  <c r="BI2" i="2"/>
  <c r="BH2" i="2"/>
  <c r="BE33" i="2"/>
  <c r="BD33" i="2"/>
  <c r="BE32" i="2"/>
  <c r="BD32" i="2"/>
  <c r="BE31" i="2"/>
  <c r="BD31" i="2"/>
  <c r="BE30" i="2"/>
  <c r="BD30" i="2"/>
  <c r="BE29" i="2"/>
  <c r="BD29" i="2"/>
  <c r="BE28" i="2"/>
  <c r="BD28" i="2"/>
  <c r="BE27" i="2"/>
  <c r="BD27" i="2"/>
  <c r="BE26" i="2"/>
  <c r="BD26" i="2"/>
  <c r="BE25" i="2"/>
  <c r="BD25" i="2"/>
  <c r="BE24" i="2"/>
  <c r="BD24" i="2"/>
  <c r="BE23" i="2"/>
  <c r="BD23" i="2"/>
  <c r="BE22" i="2"/>
  <c r="BD22" i="2"/>
  <c r="BE21" i="2"/>
  <c r="BD21" i="2"/>
  <c r="BE20" i="2"/>
  <c r="BD20" i="2"/>
  <c r="BE19" i="2"/>
  <c r="BD19" i="2"/>
  <c r="BE18" i="2"/>
  <c r="BD18" i="2"/>
  <c r="BE17" i="2"/>
  <c r="BD17" i="2"/>
  <c r="BE16" i="2"/>
  <c r="BD16" i="2"/>
  <c r="BE15" i="2"/>
  <c r="BD15" i="2"/>
  <c r="BE14" i="2"/>
  <c r="BD14" i="2"/>
  <c r="BE13" i="2"/>
  <c r="BD13" i="2"/>
  <c r="BE12" i="2"/>
  <c r="BD12" i="2"/>
  <c r="BE11" i="2"/>
  <c r="BD11" i="2"/>
  <c r="BE10" i="2"/>
  <c r="BD10" i="2"/>
  <c r="BE9" i="2"/>
  <c r="BD9" i="2"/>
  <c r="BE8" i="2"/>
  <c r="BD8" i="2"/>
  <c r="BE7" i="2"/>
  <c r="BD7" i="2"/>
  <c r="BE6" i="2"/>
  <c r="BD6" i="2"/>
  <c r="BE5" i="2"/>
  <c r="BD5" i="2"/>
  <c r="BE4" i="2"/>
  <c r="BD4" i="2"/>
  <c r="BE3" i="2"/>
  <c r="BD3" i="2"/>
  <c r="BE2" i="2"/>
  <c r="BD2" i="2"/>
  <c r="BA33" i="2"/>
  <c r="AZ33" i="2"/>
  <c r="BA32" i="2"/>
  <c r="AZ32" i="2"/>
  <c r="BA31" i="2"/>
  <c r="AZ31" i="2"/>
  <c r="BA30" i="2"/>
  <c r="AZ30" i="2"/>
  <c r="BA29" i="2"/>
  <c r="AZ29" i="2"/>
  <c r="BA28" i="2"/>
  <c r="AZ28" i="2"/>
  <c r="BA27" i="2"/>
  <c r="AZ27" i="2"/>
  <c r="BA26" i="2"/>
  <c r="AZ26" i="2"/>
  <c r="BA25" i="2"/>
  <c r="AZ25" i="2"/>
  <c r="BA24" i="2"/>
  <c r="AZ24" i="2"/>
  <c r="BA23" i="2"/>
  <c r="AZ23" i="2"/>
  <c r="BA22" i="2"/>
  <c r="AZ22" i="2"/>
  <c r="BA21" i="2"/>
  <c r="AZ21" i="2"/>
  <c r="BA20" i="2"/>
  <c r="AZ20" i="2"/>
  <c r="BA19" i="2"/>
  <c r="AZ19" i="2"/>
  <c r="BA18" i="2"/>
  <c r="AZ18" i="2"/>
  <c r="BA17" i="2"/>
  <c r="AZ17" i="2"/>
  <c r="BA16" i="2"/>
  <c r="AZ16" i="2"/>
  <c r="BA15" i="2"/>
  <c r="AZ15" i="2"/>
  <c r="BA14" i="2"/>
  <c r="AZ14" i="2"/>
  <c r="BA13" i="2"/>
  <c r="AZ13" i="2"/>
  <c r="BA12" i="2"/>
  <c r="AZ12" i="2"/>
  <c r="BA11" i="2"/>
  <c r="AZ11" i="2"/>
  <c r="BA10" i="2"/>
  <c r="AZ10" i="2"/>
  <c r="BA9" i="2"/>
  <c r="AZ9" i="2"/>
  <c r="BA8" i="2"/>
  <c r="AZ8" i="2"/>
  <c r="BA7" i="2"/>
  <c r="AZ7" i="2"/>
  <c r="BA6" i="2"/>
  <c r="AZ6" i="2"/>
  <c r="BA5" i="2"/>
  <c r="AZ5" i="2"/>
  <c r="BA4" i="2"/>
  <c r="AZ4" i="2"/>
  <c r="BA3" i="2"/>
  <c r="AZ3" i="2"/>
  <c r="BA2" i="2"/>
  <c r="AZ2" i="2"/>
  <c r="AW33" i="2"/>
  <c r="AV33" i="2"/>
  <c r="AW32" i="2"/>
  <c r="AV32" i="2"/>
  <c r="AW31" i="2"/>
  <c r="AV31" i="2"/>
  <c r="AW30" i="2"/>
  <c r="AV30" i="2"/>
  <c r="AW29" i="2"/>
  <c r="AV29" i="2"/>
  <c r="AW28" i="2"/>
  <c r="AV28" i="2"/>
  <c r="AW27" i="2"/>
  <c r="AV27" i="2"/>
  <c r="AW26" i="2"/>
  <c r="AV26" i="2"/>
  <c r="AW25" i="2"/>
  <c r="AV25" i="2"/>
  <c r="AW24" i="2"/>
  <c r="AV24" i="2"/>
  <c r="AW23" i="2"/>
  <c r="AV23" i="2"/>
  <c r="AW22" i="2"/>
  <c r="AV22" i="2"/>
  <c r="AW21" i="2"/>
  <c r="AV21" i="2"/>
  <c r="AW20" i="2"/>
  <c r="AV20" i="2"/>
  <c r="AW19" i="2"/>
  <c r="AV19" i="2"/>
  <c r="AW18" i="2"/>
  <c r="AV18" i="2"/>
  <c r="AW17" i="2"/>
  <c r="AV17" i="2"/>
  <c r="AW16" i="2"/>
  <c r="AV16" i="2"/>
  <c r="AW15" i="2"/>
  <c r="AV15" i="2"/>
  <c r="AW14" i="2"/>
  <c r="AV14" i="2"/>
  <c r="AW13" i="2"/>
  <c r="AV13" i="2"/>
  <c r="AW12" i="2"/>
  <c r="AV12" i="2"/>
  <c r="AW11" i="2"/>
  <c r="AV11" i="2"/>
  <c r="AW10" i="2"/>
  <c r="AV10" i="2"/>
  <c r="AW9" i="2"/>
  <c r="AV9" i="2"/>
  <c r="AW8" i="2"/>
  <c r="AV8" i="2"/>
  <c r="AW7" i="2"/>
  <c r="AV7" i="2"/>
  <c r="AW6" i="2"/>
  <c r="AV6" i="2"/>
  <c r="AW5" i="2"/>
  <c r="AV5" i="2"/>
  <c r="AW4" i="2"/>
  <c r="AV4" i="2"/>
  <c r="AW3" i="2"/>
  <c r="AV3" i="2"/>
  <c r="AW2" i="2"/>
  <c r="AV2" i="2"/>
  <c r="AS33" i="2"/>
  <c r="AR33" i="2"/>
  <c r="AS32" i="2"/>
  <c r="AR32" i="2"/>
  <c r="AS31" i="2"/>
  <c r="AR31" i="2"/>
  <c r="AS30" i="2"/>
  <c r="AR30" i="2"/>
  <c r="AS29" i="2"/>
  <c r="AR29" i="2"/>
  <c r="AS28" i="2"/>
  <c r="AR28" i="2"/>
  <c r="AS27" i="2"/>
  <c r="AR27" i="2"/>
  <c r="AS26" i="2"/>
  <c r="AR26" i="2"/>
  <c r="AS25" i="2"/>
  <c r="AR25" i="2"/>
  <c r="AS24" i="2"/>
  <c r="AR24" i="2"/>
  <c r="AS23" i="2"/>
  <c r="AR23" i="2"/>
  <c r="AS22" i="2"/>
  <c r="AR22" i="2"/>
  <c r="AS21" i="2"/>
  <c r="AR21" i="2"/>
  <c r="AS20" i="2"/>
  <c r="AR20" i="2"/>
  <c r="AS19" i="2"/>
  <c r="AR19" i="2"/>
  <c r="AS18" i="2"/>
  <c r="AR18" i="2"/>
  <c r="AS17" i="2"/>
  <c r="AR17" i="2"/>
  <c r="AS16" i="2"/>
  <c r="AR16" i="2"/>
  <c r="AS15" i="2"/>
  <c r="AR15" i="2"/>
  <c r="AS14" i="2"/>
  <c r="AR14" i="2"/>
  <c r="AS13" i="2"/>
  <c r="AR13" i="2"/>
  <c r="AS12" i="2"/>
  <c r="AR12" i="2"/>
  <c r="AS11" i="2"/>
  <c r="AR11" i="2"/>
  <c r="AS10" i="2"/>
  <c r="AR10" i="2"/>
  <c r="AS9" i="2"/>
  <c r="AR9" i="2"/>
  <c r="AS8" i="2"/>
  <c r="AR8" i="2"/>
  <c r="AS7" i="2"/>
  <c r="AR7" i="2"/>
  <c r="AS6" i="2"/>
  <c r="AR6" i="2"/>
  <c r="AS5" i="2"/>
  <c r="AR5" i="2"/>
  <c r="AS4" i="2"/>
  <c r="AR4" i="2"/>
  <c r="AS3" i="2"/>
  <c r="AR3" i="2"/>
  <c r="AS2" i="2"/>
  <c r="AR2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5" i="2"/>
  <c r="AN25" i="2"/>
  <c r="AO24" i="2"/>
  <c r="AN24" i="2"/>
  <c r="AO23" i="2"/>
  <c r="AN23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AO8" i="2"/>
  <c r="AN8" i="2"/>
  <c r="AO7" i="2"/>
  <c r="AN7" i="2"/>
  <c r="AO6" i="2"/>
  <c r="AN6" i="2"/>
  <c r="AO5" i="2"/>
  <c r="AN5" i="2"/>
  <c r="AO4" i="2"/>
  <c r="AN4" i="2"/>
  <c r="AO3" i="2"/>
  <c r="AN3" i="2"/>
  <c r="AO2" i="2"/>
  <c r="AN2" i="2"/>
  <c r="AK33" i="2"/>
  <c r="AJ33" i="2"/>
  <c r="AK32" i="2"/>
  <c r="AJ32" i="2"/>
  <c r="AK31" i="2"/>
  <c r="AJ31" i="2"/>
  <c r="AK30" i="2"/>
  <c r="AJ30" i="2"/>
  <c r="AK29" i="2"/>
  <c r="AJ29" i="2"/>
  <c r="AK28" i="2"/>
  <c r="AJ28" i="2"/>
  <c r="AK27" i="2"/>
  <c r="AJ27" i="2"/>
  <c r="AK26" i="2"/>
  <c r="AJ26" i="2"/>
  <c r="AK25" i="2"/>
  <c r="AJ25" i="2"/>
  <c r="AK24" i="2"/>
  <c r="AJ24" i="2"/>
  <c r="AK23" i="2"/>
  <c r="AJ23" i="2"/>
  <c r="AK22" i="2"/>
  <c r="AJ22" i="2"/>
  <c r="AK21" i="2"/>
  <c r="AJ21" i="2"/>
  <c r="AK20" i="2"/>
  <c r="AJ20" i="2"/>
  <c r="AK19" i="2"/>
  <c r="AJ19" i="2"/>
  <c r="AK18" i="2"/>
  <c r="AJ18" i="2"/>
  <c r="AK17" i="2"/>
  <c r="AJ17" i="2"/>
  <c r="AK16" i="2"/>
  <c r="AJ16" i="2"/>
  <c r="AK15" i="2"/>
  <c r="AJ15" i="2"/>
  <c r="AK14" i="2"/>
  <c r="AJ14" i="2"/>
  <c r="AK13" i="2"/>
  <c r="AJ13" i="2"/>
  <c r="AK12" i="2"/>
  <c r="AJ12" i="2"/>
  <c r="AK11" i="2"/>
  <c r="AJ11" i="2"/>
  <c r="AK10" i="2"/>
  <c r="AJ10" i="2"/>
  <c r="AK9" i="2"/>
  <c r="AJ9" i="2"/>
  <c r="AK8" i="2"/>
  <c r="AJ8" i="2"/>
  <c r="AK7" i="2"/>
  <c r="AJ7" i="2"/>
  <c r="AK6" i="2"/>
  <c r="AJ6" i="2"/>
  <c r="AK5" i="2"/>
  <c r="AJ5" i="2"/>
  <c r="AK4" i="2"/>
  <c r="AJ4" i="2"/>
  <c r="AK3" i="2"/>
  <c r="AJ3" i="2"/>
  <c r="AK2" i="2"/>
  <c r="AJ2" i="2"/>
  <c r="AG33" i="2"/>
  <c r="AF33" i="2"/>
  <c r="AG32" i="2"/>
  <c r="AF32" i="2"/>
  <c r="AG31" i="2"/>
  <c r="AF31" i="2"/>
  <c r="AG30" i="2"/>
  <c r="AF30" i="2"/>
  <c r="AG29" i="2"/>
  <c r="AF29" i="2"/>
  <c r="AG28" i="2"/>
  <c r="AF28" i="2"/>
  <c r="AG27" i="2"/>
  <c r="AF27" i="2"/>
  <c r="AG26" i="2"/>
  <c r="AF26" i="2"/>
  <c r="AG25" i="2"/>
  <c r="AF25" i="2"/>
  <c r="AG24" i="2"/>
  <c r="AF24" i="2"/>
  <c r="AG23" i="2"/>
  <c r="AF23" i="2"/>
  <c r="AG22" i="2"/>
  <c r="AF22" i="2"/>
  <c r="AG21" i="2"/>
  <c r="AF21" i="2"/>
  <c r="AG20" i="2"/>
  <c r="AF20" i="2"/>
  <c r="AG19" i="2"/>
  <c r="AF19" i="2"/>
  <c r="AG18" i="2"/>
  <c r="AF18" i="2"/>
  <c r="AG17" i="2"/>
  <c r="AF17" i="2"/>
  <c r="AG16" i="2"/>
  <c r="AF16" i="2"/>
  <c r="AG15" i="2"/>
  <c r="AF15" i="2"/>
  <c r="AG14" i="2"/>
  <c r="AF14" i="2"/>
  <c r="AG13" i="2"/>
  <c r="AF13" i="2"/>
  <c r="AG12" i="2"/>
  <c r="AF12" i="2"/>
  <c r="AG11" i="2"/>
  <c r="AF11" i="2"/>
  <c r="AG10" i="2"/>
  <c r="AF10" i="2"/>
  <c r="AG9" i="2"/>
  <c r="AF9" i="2"/>
  <c r="AG8" i="2"/>
  <c r="AF8" i="2"/>
  <c r="AG7" i="2"/>
  <c r="AF7" i="2"/>
  <c r="AG6" i="2"/>
  <c r="AF6" i="2"/>
  <c r="AG5" i="2"/>
  <c r="AF5" i="2"/>
  <c r="AG4" i="2"/>
  <c r="AF4" i="2"/>
  <c r="AG3" i="2"/>
  <c r="AF3" i="2"/>
  <c r="AG2" i="2"/>
  <c r="AF2" i="2"/>
  <c r="AC33" i="2"/>
  <c r="AB33" i="2"/>
  <c r="AC32" i="2"/>
  <c r="AB32" i="2"/>
  <c r="AC31" i="2"/>
  <c r="AB31" i="2"/>
  <c r="AC30" i="2"/>
  <c r="AB30" i="2"/>
  <c r="AC29" i="2"/>
  <c r="AB29" i="2"/>
  <c r="AC28" i="2"/>
  <c r="AB28" i="2"/>
  <c r="AC27" i="2"/>
  <c r="AB27" i="2"/>
  <c r="AC26" i="2"/>
  <c r="AB26" i="2"/>
  <c r="AC25" i="2"/>
  <c r="AB25" i="2"/>
  <c r="AC24" i="2"/>
  <c r="AB24" i="2"/>
  <c r="AC23" i="2"/>
  <c r="AB23" i="2"/>
  <c r="AC22" i="2"/>
  <c r="AB22" i="2"/>
  <c r="AC21" i="2"/>
  <c r="AB21" i="2"/>
  <c r="AC20" i="2"/>
  <c r="AB20" i="2"/>
  <c r="AC19" i="2"/>
  <c r="AB19" i="2"/>
  <c r="AC18" i="2"/>
  <c r="AB18" i="2"/>
  <c r="AC17" i="2"/>
  <c r="AB17" i="2"/>
  <c r="AC16" i="2"/>
  <c r="AB16" i="2"/>
  <c r="AC15" i="2"/>
  <c r="AB15" i="2"/>
  <c r="AC14" i="2"/>
  <c r="AB14" i="2"/>
  <c r="AC13" i="2"/>
  <c r="AB13" i="2"/>
  <c r="AC12" i="2"/>
  <c r="AB12" i="2"/>
  <c r="AC11" i="2"/>
  <c r="AB11" i="2"/>
  <c r="AC10" i="2"/>
  <c r="AB10" i="2"/>
  <c r="AC9" i="2"/>
  <c r="AB9" i="2"/>
  <c r="AC8" i="2"/>
  <c r="AB8" i="2"/>
  <c r="AC7" i="2"/>
  <c r="AB7" i="2"/>
  <c r="AC6" i="2"/>
  <c r="AB6" i="2"/>
  <c r="AC5" i="2"/>
  <c r="AB5" i="2"/>
  <c r="AC4" i="2"/>
  <c r="AB4" i="2"/>
  <c r="AC3" i="2"/>
  <c r="AB3" i="2"/>
  <c r="AC2" i="2"/>
  <c r="AB2" i="2"/>
  <c r="Y33" i="2"/>
  <c r="X33" i="2"/>
  <c r="Y32" i="2"/>
  <c r="X32" i="2"/>
  <c r="Y31" i="2"/>
  <c r="X31" i="2"/>
  <c r="Y30" i="2"/>
  <c r="X30" i="2"/>
  <c r="Y29" i="2"/>
  <c r="X29" i="2"/>
  <c r="Y28" i="2"/>
  <c r="X28" i="2"/>
  <c r="Y27" i="2"/>
  <c r="X27" i="2"/>
  <c r="Y26" i="2"/>
  <c r="X26" i="2"/>
  <c r="Y25" i="2"/>
  <c r="X25" i="2"/>
  <c r="Y24" i="2"/>
  <c r="X24" i="2"/>
  <c r="Y23" i="2"/>
  <c r="X23" i="2"/>
  <c r="Y22" i="2"/>
  <c r="X22" i="2"/>
  <c r="Y21" i="2"/>
  <c r="X21" i="2"/>
  <c r="Y20" i="2"/>
  <c r="X20" i="2"/>
  <c r="Y19" i="2"/>
  <c r="X19" i="2"/>
  <c r="Y18" i="2"/>
  <c r="X18" i="2"/>
  <c r="Y17" i="2"/>
  <c r="X17" i="2"/>
  <c r="Y16" i="2"/>
  <c r="X16" i="2"/>
  <c r="Y15" i="2"/>
  <c r="X15" i="2"/>
  <c r="Y14" i="2"/>
  <c r="X14" i="2"/>
  <c r="Y13" i="2"/>
  <c r="X13" i="2"/>
  <c r="Y12" i="2"/>
  <c r="X12" i="2"/>
  <c r="Y11" i="2"/>
  <c r="X11" i="2"/>
  <c r="Y10" i="2"/>
  <c r="X10" i="2"/>
  <c r="Y9" i="2"/>
  <c r="X9" i="2"/>
  <c r="Y8" i="2"/>
  <c r="X8" i="2"/>
  <c r="Y7" i="2"/>
  <c r="X7" i="2"/>
  <c r="Y6" i="2"/>
  <c r="X6" i="2"/>
  <c r="Y5" i="2"/>
  <c r="X5" i="2"/>
  <c r="Y4" i="2"/>
  <c r="X4" i="2"/>
  <c r="Y3" i="2"/>
  <c r="X3" i="2"/>
  <c r="Y2" i="2"/>
  <c r="X2" i="2"/>
  <c r="U33" i="2"/>
  <c r="T33" i="2"/>
  <c r="U32" i="2"/>
  <c r="T32" i="2"/>
  <c r="U31" i="2"/>
  <c r="T31" i="2"/>
  <c r="U30" i="2"/>
  <c r="T30" i="2"/>
  <c r="U29" i="2"/>
  <c r="T29" i="2"/>
  <c r="U28" i="2"/>
  <c r="T28" i="2"/>
  <c r="U27" i="2"/>
  <c r="T27" i="2"/>
  <c r="U26" i="2"/>
  <c r="T26" i="2"/>
  <c r="U25" i="2"/>
  <c r="T25" i="2"/>
  <c r="U24" i="2"/>
  <c r="T24" i="2"/>
  <c r="U23" i="2"/>
  <c r="T23" i="2"/>
  <c r="U22" i="2"/>
  <c r="T22" i="2"/>
  <c r="U21" i="2"/>
  <c r="T21" i="2"/>
  <c r="U20" i="2"/>
  <c r="T20" i="2"/>
  <c r="U19" i="2"/>
  <c r="T19" i="2"/>
  <c r="U18" i="2"/>
  <c r="T18" i="2"/>
  <c r="U17" i="2"/>
  <c r="T17" i="2"/>
  <c r="U16" i="2"/>
  <c r="T16" i="2"/>
  <c r="U15" i="2"/>
  <c r="T15" i="2"/>
  <c r="U14" i="2"/>
  <c r="T14" i="2"/>
  <c r="U13" i="2"/>
  <c r="T13" i="2"/>
  <c r="U12" i="2"/>
  <c r="T12" i="2"/>
  <c r="U11" i="2"/>
  <c r="T11" i="2"/>
  <c r="U10" i="2"/>
  <c r="T10" i="2"/>
  <c r="U9" i="2"/>
  <c r="T9" i="2"/>
  <c r="U8" i="2"/>
  <c r="T8" i="2"/>
  <c r="U7" i="2"/>
  <c r="T7" i="2"/>
  <c r="U6" i="2"/>
  <c r="T6" i="2"/>
  <c r="U5" i="2"/>
  <c r="T5" i="2"/>
  <c r="U4" i="2"/>
  <c r="T4" i="2"/>
  <c r="U3" i="2"/>
  <c r="T3" i="2"/>
  <c r="U2" i="2"/>
  <c r="T2" i="2"/>
  <c r="Q33" i="2"/>
  <c r="P33" i="2"/>
  <c r="Q32" i="2"/>
  <c r="P32" i="2"/>
  <c r="Q31" i="2"/>
  <c r="P31" i="2"/>
  <c r="Q30" i="2"/>
  <c r="P30" i="2"/>
  <c r="Q29" i="2"/>
  <c r="P29" i="2"/>
  <c r="Q28" i="2"/>
  <c r="P28" i="2"/>
  <c r="Q27" i="2"/>
  <c r="P27" i="2"/>
  <c r="Q26" i="2"/>
  <c r="P26" i="2"/>
  <c r="Q25" i="2"/>
  <c r="P25" i="2"/>
  <c r="Q24" i="2"/>
  <c r="P24" i="2"/>
  <c r="Q23" i="2"/>
  <c r="P23" i="2"/>
  <c r="Q22" i="2"/>
  <c r="P22" i="2"/>
  <c r="Q21" i="2"/>
  <c r="P21" i="2"/>
  <c r="Q20" i="2"/>
  <c r="P20" i="2"/>
  <c r="Q19" i="2"/>
  <c r="P19" i="2"/>
  <c r="Q18" i="2"/>
  <c r="P18" i="2"/>
  <c r="Q17" i="2"/>
  <c r="P17" i="2"/>
  <c r="Q16" i="2"/>
  <c r="P16" i="2"/>
  <c r="Q15" i="2"/>
  <c r="P15" i="2"/>
  <c r="Q14" i="2"/>
  <c r="P14" i="2"/>
  <c r="Q13" i="2"/>
  <c r="P13" i="2"/>
  <c r="Q12" i="2"/>
  <c r="P12" i="2"/>
  <c r="Q11" i="2"/>
  <c r="P11" i="2"/>
  <c r="Q10" i="2"/>
  <c r="P10" i="2"/>
  <c r="Q9" i="2"/>
  <c r="P9" i="2"/>
  <c r="Q8" i="2"/>
  <c r="P8" i="2"/>
  <c r="Q7" i="2"/>
  <c r="P7" i="2"/>
  <c r="Q6" i="2"/>
  <c r="P6" i="2"/>
  <c r="Q5" i="2"/>
  <c r="P5" i="2"/>
  <c r="Q4" i="2"/>
  <c r="P4" i="2"/>
  <c r="Q3" i="2"/>
  <c r="P3" i="2"/>
  <c r="Q2" i="2"/>
  <c r="P2" i="2"/>
  <c r="M33" i="2"/>
  <c r="L33" i="2"/>
  <c r="M32" i="2"/>
  <c r="L32" i="2"/>
  <c r="M31" i="2"/>
  <c r="L31" i="2"/>
  <c r="M30" i="2"/>
  <c r="L30" i="2"/>
  <c r="M29" i="2"/>
  <c r="L29" i="2"/>
  <c r="M28" i="2"/>
  <c r="L28" i="2"/>
  <c r="M27" i="2"/>
  <c r="L27" i="2"/>
  <c r="M26" i="2"/>
  <c r="L26" i="2"/>
  <c r="M25" i="2"/>
  <c r="L25" i="2"/>
  <c r="M24" i="2"/>
  <c r="L24" i="2"/>
  <c r="M23" i="2"/>
  <c r="L23" i="2"/>
  <c r="M22" i="2"/>
  <c r="L22" i="2"/>
  <c r="M21" i="2"/>
  <c r="L21" i="2"/>
  <c r="M20" i="2"/>
  <c r="L20" i="2"/>
  <c r="M19" i="2"/>
  <c r="L19" i="2"/>
  <c r="M18" i="2"/>
  <c r="L18" i="2"/>
  <c r="M17" i="2"/>
  <c r="L17" i="2"/>
  <c r="M16" i="2"/>
  <c r="L16" i="2"/>
  <c r="M15" i="2"/>
  <c r="L15" i="2"/>
  <c r="M14" i="2"/>
  <c r="L14" i="2"/>
  <c r="M13" i="2"/>
  <c r="L13" i="2"/>
  <c r="M12" i="2"/>
  <c r="L12" i="2"/>
  <c r="M11" i="2"/>
  <c r="L11" i="2"/>
  <c r="M10" i="2"/>
  <c r="L10" i="2"/>
  <c r="M9" i="2"/>
  <c r="L9" i="2"/>
  <c r="M8" i="2"/>
  <c r="L8" i="2"/>
  <c r="M7" i="2"/>
  <c r="L7" i="2"/>
  <c r="M6" i="2"/>
  <c r="L6" i="2"/>
  <c r="M5" i="2"/>
  <c r="L5" i="2"/>
  <c r="M4" i="2"/>
  <c r="L4" i="2"/>
  <c r="M3" i="2"/>
  <c r="L3" i="2"/>
  <c r="M2" i="2"/>
  <c r="L2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I5" i="2"/>
  <c r="H5" i="2"/>
  <c r="I4" i="2"/>
  <c r="H4" i="2"/>
  <c r="I3" i="2"/>
  <c r="H3" i="2"/>
  <c r="I2" i="2"/>
  <c r="H2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D4" i="2"/>
  <c r="D3" i="2"/>
  <c r="D2" i="2"/>
  <c r="CD33" i="2"/>
  <c r="CD32" i="2"/>
  <c r="CD31" i="2"/>
  <c r="CD30" i="2"/>
  <c r="CD29" i="2"/>
  <c r="CD28" i="2"/>
  <c r="CD27" i="2"/>
  <c r="CD26" i="2"/>
  <c r="CD25" i="2"/>
  <c r="CD24" i="2"/>
  <c r="CD23" i="2"/>
  <c r="CD22" i="2"/>
  <c r="CD21" i="2"/>
  <c r="CD20" i="2"/>
  <c r="CD19" i="2"/>
  <c r="CD18" i="2"/>
  <c r="CD17" i="2"/>
  <c r="CD16" i="2"/>
  <c r="CD15" i="2"/>
  <c r="CD14" i="2"/>
  <c r="CD13" i="2"/>
  <c r="CD12" i="2"/>
  <c r="CD11" i="2"/>
  <c r="CD10" i="2"/>
  <c r="CD9" i="2"/>
  <c r="CD8" i="2"/>
  <c r="CD7" i="2"/>
  <c r="CD6" i="2"/>
  <c r="CD5" i="2"/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C37" i="5"/>
  <c r="D37" i="5"/>
  <c r="E37" i="5"/>
  <c r="F37" i="5"/>
  <c r="B37" i="5"/>
  <c r="F1" i="5"/>
  <c r="F36" i="5" s="1"/>
  <c r="E1" i="5"/>
  <c r="E36" i="5" s="1"/>
  <c r="D1" i="5"/>
  <c r="D36" i="5" s="1"/>
  <c r="C1" i="5"/>
  <c r="C36" i="5" s="1"/>
  <c r="B1" i="5"/>
  <c r="B36" i="5" s="1"/>
  <c r="A32" i="2"/>
  <c r="A33" i="2"/>
  <c r="A32" i="4"/>
  <c r="AP32" i="4"/>
  <c r="A33" i="4"/>
  <c r="AP33" i="4"/>
  <c r="AQ33" i="4" l="1"/>
  <c r="AR33" i="4" s="1"/>
  <c r="E33" i="3" s="1"/>
  <c r="AQ32" i="4"/>
  <c r="AR32" i="4" s="1"/>
  <c r="E32" i="3" s="1"/>
  <c r="A32" i="1"/>
  <c r="AP32" i="1"/>
  <c r="AQ32" i="1" s="1"/>
  <c r="AR32" i="1" s="1"/>
  <c r="C32" i="3" s="1"/>
  <c r="A33" i="1"/>
  <c r="AP33" i="1"/>
  <c r="AQ33" i="1" s="1"/>
  <c r="AR33" i="1" s="1"/>
  <c r="C33" i="3" s="1"/>
  <c r="A2" i="4"/>
  <c r="A3" i="4"/>
  <c r="A4" i="4"/>
  <c r="A5" i="4"/>
  <c r="A6" i="4"/>
  <c r="A7" i="4"/>
  <c r="AP31" i="4"/>
  <c r="AP30" i="4"/>
  <c r="AP29" i="4"/>
  <c r="AP28" i="4"/>
  <c r="AP27" i="4"/>
  <c r="AP26" i="4"/>
  <c r="AP25" i="4"/>
  <c r="AP24" i="4"/>
  <c r="AP23" i="4"/>
  <c r="AP22" i="4"/>
  <c r="AP21" i="4"/>
  <c r="AP20" i="4"/>
  <c r="AP19" i="4"/>
  <c r="AP18" i="4"/>
  <c r="AP17" i="4"/>
  <c r="AP16" i="4"/>
  <c r="AP15" i="4"/>
  <c r="AP14" i="4"/>
  <c r="AP13" i="4"/>
  <c r="AP12" i="4"/>
  <c r="AP11" i="4"/>
  <c r="AP10" i="4"/>
  <c r="AP9" i="4"/>
  <c r="AP8" i="4"/>
  <c r="AP7" i="4"/>
  <c r="AP6" i="4"/>
  <c r="AP5" i="4"/>
  <c r="AP4" i="4"/>
  <c r="AP3" i="4"/>
  <c r="AP2" i="4"/>
  <c r="A4" i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P2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" i="1"/>
  <c r="AP4" i="1"/>
  <c r="AP5" i="1"/>
  <c r="AQ5" i="1" s="1"/>
  <c r="AP6" i="1"/>
  <c r="AQ6" i="1" s="1"/>
  <c r="AP7" i="1"/>
  <c r="AQ7" i="1" s="1"/>
  <c r="AP8" i="1"/>
  <c r="AQ8" i="1" s="1"/>
  <c r="AP9" i="1"/>
  <c r="AQ9" i="1" s="1"/>
  <c r="AP10" i="1"/>
  <c r="AQ10" i="1" s="1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2" i="1"/>
  <c r="CE31" i="2" l="1"/>
  <c r="CE23" i="2"/>
  <c r="CE15" i="2"/>
  <c r="CE7" i="2"/>
  <c r="CE24" i="2"/>
  <c r="CE30" i="2"/>
  <c r="CE22" i="2"/>
  <c r="CE14" i="2"/>
  <c r="CE6" i="2"/>
  <c r="CE29" i="2"/>
  <c r="CE21" i="2"/>
  <c r="CE13" i="2"/>
  <c r="CE5" i="2"/>
  <c r="CE3" i="2"/>
  <c r="E3" i="2" s="1"/>
  <c r="CD3" i="2" s="1"/>
  <c r="CE8" i="2"/>
  <c r="CE28" i="2"/>
  <c r="CE20" i="2"/>
  <c r="CE12" i="2"/>
  <c r="CE4" i="2"/>
  <c r="E4" i="2" s="1"/>
  <c r="CD4" i="2" s="1"/>
  <c r="CE32" i="2"/>
  <c r="CE27" i="2"/>
  <c r="CE19" i="2"/>
  <c r="CE11" i="2"/>
  <c r="CE2" i="2"/>
  <c r="E2" i="2" s="1"/>
  <c r="CD2" i="2" s="1"/>
  <c r="CE26" i="2"/>
  <c r="CE18" i="2"/>
  <c r="CE10" i="2"/>
  <c r="CE33" i="2"/>
  <c r="CE25" i="2"/>
  <c r="CE17" i="2"/>
  <c r="CE9" i="2"/>
  <c r="CE16" i="2"/>
  <c r="AQ2" i="4"/>
  <c r="AQ3" i="4"/>
  <c r="AQ4" i="1"/>
  <c r="AQ3" i="1"/>
  <c r="AQ31" i="4"/>
  <c r="AR31" i="4" s="1"/>
  <c r="E31" i="3" s="1"/>
  <c r="AQ21" i="4"/>
  <c r="AR21" i="4" s="1"/>
  <c r="E21" i="3" s="1"/>
  <c r="AQ15" i="4"/>
  <c r="AR15" i="4" s="1"/>
  <c r="E15" i="3" s="1"/>
  <c r="AQ18" i="4"/>
  <c r="AR18" i="4" s="1"/>
  <c r="E18" i="3" s="1"/>
  <c r="AQ6" i="4"/>
  <c r="AR6" i="4" s="1"/>
  <c r="E6" i="3" s="1"/>
  <c r="AQ22" i="4"/>
  <c r="AR22" i="4" s="1"/>
  <c r="E22" i="3" s="1"/>
  <c r="AQ23" i="4"/>
  <c r="AR23" i="4" s="1"/>
  <c r="E23" i="3" s="1"/>
  <c r="AQ19" i="4"/>
  <c r="AR19" i="4" s="1"/>
  <c r="E19" i="3" s="1"/>
  <c r="AQ24" i="4"/>
  <c r="AR24" i="4" s="1"/>
  <c r="E24" i="3" s="1"/>
  <c r="AQ14" i="4"/>
  <c r="AR14" i="4" s="1"/>
  <c r="E14" i="3" s="1"/>
  <c r="AQ4" i="4"/>
  <c r="AQ25" i="4"/>
  <c r="AR25" i="4" s="1"/>
  <c r="E25" i="3" s="1"/>
  <c r="AQ16" i="4"/>
  <c r="AR16" i="4" s="1"/>
  <c r="E16" i="3" s="1"/>
  <c r="AQ7" i="4"/>
  <c r="AR7" i="4" s="1"/>
  <c r="E7" i="3" s="1"/>
  <c r="AQ8" i="4"/>
  <c r="AR8" i="4" s="1"/>
  <c r="E8" i="3" s="1"/>
  <c r="AQ30" i="4"/>
  <c r="AR30" i="4" s="1"/>
  <c r="E30" i="3" s="1"/>
  <c r="AQ17" i="4"/>
  <c r="AR17" i="4" s="1"/>
  <c r="E17" i="3" s="1"/>
  <c r="AQ5" i="4"/>
  <c r="AR5" i="4" s="1"/>
  <c r="E5" i="3" s="1"/>
  <c r="AQ26" i="4"/>
  <c r="AR26" i="4" s="1"/>
  <c r="E26" i="3" s="1"/>
  <c r="AQ27" i="4"/>
  <c r="AR27" i="4" s="1"/>
  <c r="E27" i="3" s="1"/>
  <c r="AQ12" i="4"/>
  <c r="AR12" i="4" s="1"/>
  <c r="E12" i="3" s="1"/>
  <c r="AQ28" i="4"/>
  <c r="AR28" i="4" s="1"/>
  <c r="E28" i="3" s="1"/>
  <c r="AQ20" i="4"/>
  <c r="AR20" i="4" s="1"/>
  <c r="E20" i="3" s="1"/>
  <c r="AQ9" i="4"/>
  <c r="AR9" i="4" s="1"/>
  <c r="E9" i="3" s="1"/>
  <c r="AQ10" i="4"/>
  <c r="AR10" i="4" s="1"/>
  <c r="E10" i="3" s="1"/>
  <c r="AQ11" i="4"/>
  <c r="AR11" i="4" s="1"/>
  <c r="E11" i="3" s="1"/>
  <c r="AQ13" i="4"/>
  <c r="AR13" i="4" s="1"/>
  <c r="E13" i="3" s="1"/>
  <c r="AQ29" i="4"/>
  <c r="AR29" i="4" s="1"/>
  <c r="E29" i="3" s="1"/>
  <c r="AQ12" i="1"/>
  <c r="AR12" i="1" s="1"/>
  <c r="C12" i="3" s="1"/>
  <c r="AQ26" i="1"/>
  <c r="AR26" i="1" s="1"/>
  <c r="C26" i="3" s="1"/>
  <c r="AQ27" i="1"/>
  <c r="AR27" i="1" s="1"/>
  <c r="C27" i="3" s="1"/>
  <c r="AQ25" i="1"/>
  <c r="AR25" i="1" s="1"/>
  <c r="C25" i="3" s="1"/>
  <c r="AQ22" i="1"/>
  <c r="AR22" i="1" s="1"/>
  <c r="C22" i="3" s="1"/>
  <c r="AQ20" i="1"/>
  <c r="AR20" i="1" s="1"/>
  <c r="C20" i="3" s="1"/>
  <c r="AQ23" i="1"/>
  <c r="AR23" i="1" s="1"/>
  <c r="C23" i="3" s="1"/>
  <c r="AQ19" i="1"/>
  <c r="AR19" i="1" s="1"/>
  <c r="C19" i="3" s="1"/>
  <c r="AQ11" i="1"/>
  <c r="AR11" i="1" s="1"/>
  <c r="C11" i="3" s="1"/>
  <c r="AQ16" i="1"/>
  <c r="AR16" i="1" s="1"/>
  <c r="C16" i="3" s="1"/>
  <c r="AQ28" i="1"/>
  <c r="AR28" i="1" s="1"/>
  <c r="C28" i="3" s="1"/>
  <c r="AQ24" i="1"/>
  <c r="AR24" i="1" s="1"/>
  <c r="C24" i="3" s="1"/>
  <c r="AQ21" i="1"/>
  <c r="AR21" i="1" s="1"/>
  <c r="C21" i="3" s="1"/>
  <c r="AQ15" i="1"/>
  <c r="AR15" i="1" s="1"/>
  <c r="C15" i="3" s="1"/>
  <c r="AQ17" i="1"/>
  <c r="AR17" i="1" s="1"/>
  <c r="C17" i="3" s="1"/>
  <c r="AQ30" i="1"/>
  <c r="AR30" i="1" s="1"/>
  <c r="C30" i="3" s="1"/>
  <c r="AQ14" i="1"/>
  <c r="AR14" i="1" s="1"/>
  <c r="C14" i="3" s="1"/>
  <c r="AQ18" i="1"/>
  <c r="AR18" i="1" s="1"/>
  <c r="C18" i="3" s="1"/>
  <c r="AQ31" i="1"/>
  <c r="AR31" i="1" s="1"/>
  <c r="C31" i="3" s="1"/>
  <c r="AQ29" i="1"/>
  <c r="AR29" i="1" s="1"/>
  <c r="C29" i="3" s="1"/>
  <c r="AQ13" i="1"/>
  <c r="AR13" i="1" s="1"/>
  <c r="C13" i="3" s="1"/>
  <c r="AQ2" i="1"/>
  <c r="A44" i="4"/>
  <c r="A46" i="4"/>
  <c r="AR10" i="1"/>
  <c r="C10" i="3" s="1"/>
  <c r="AR5" i="1"/>
  <c r="C5" i="3" s="1"/>
  <c r="AR4" i="1"/>
  <c r="C4" i="3" s="1"/>
  <c r="AR3" i="1"/>
  <c r="C3" i="3" s="1"/>
  <c r="AR9" i="1"/>
  <c r="C9" i="3" s="1"/>
  <c r="AR8" i="1"/>
  <c r="C8" i="3" s="1"/>
  <c r="AR7" i="1"/>
  <c r="C7" i="3" s="1"/>
  <c r="AR6" i="1"/>
  <c r="C6" i="3" s="1"/>
  <c r="A36" i="1"/>
  <c r="A38" i="1"/>
  <c r="AR4" i="4" l="1"/>
  <c r="E4" i="3" s="1"/>
  <c r="AR3" i="4"/>
  <c r="E3" i="3" s="1"/>
  <c r="AR2" i="4"/>
  <c r="E2" i="3" s="1"/>
  <c r="E40" i="3" s="1"/>
  <c r="AR2" i="1"/>
  <c r="C2" i="3" s="1"/>
  <c r="E43" i="3" l="1"/>
  <c r="E46" i="3"/>
  <c r="C49" i="3"/>
  <c r="C43" i="3"/>
  <c r="C46" i="3"/>
  <c r="C40" i="3"/>
  <c r="D25" i="3"/>
  <c r="B25" i="3" s="1"/>
  <c r="D18" i="3"/>
  <c r="B18" i="3" s="1"/>
  <c r="D33" i="3"/>
  <c r="B33" i="3" s="1"/>
  <c r="D19" i="3" l="1"/>
  <c r="B19" i="3" s="1"/>
  <c r="D26" i="3"/>
  <c r="B26" i="3" s="1"/>
  <c r="D12" i="3"/>
  <c r="B12" i="3" s="1"/>
  <c r="D24" i="3"/>
  <c r="B24" i="3" s="1"/>
  <c r="D32" i="3"/>
  <c r="B32" i="3" s="1"/>
  <c r="D10" i="3"/>
  <c r="B10" i="3" s="1"/>
  <c r="D9" i="3"/>
  <c r="B9" i="3" s="1"/>
  <c r="D23" i="3"/>
  <c r="B23" i="3" s="1"/>
  <c r="D30" i="3"/>
  <c r="B30" i="3" s="1"/>
  <c r="D20" i="3"/>
  <c r="B20" i="3" s="1"/>
  <c r="D8" i="3"/>
  <c r="B8" i="3" s="1"/>
  <c r="D13" i="3"/>
  <c r="B13" i="3" s="1"/>
  <c r="D15" i="3"/>
  <c r="B15" i="3" s="1"/>
  <c r="D7" i="3"/>
  <c r="B7" i="3" s="1"/>
  <c r="D6" i="3"/>
  <c r="B6" i="3" s="1"/>
  <c r="D5" i="3"/>
  <c r="B5" i="3" s="1"/>
  <c r="D28" i="3"/>
  <c r="B28" i="3" s="1"/>
  <c r="D27" i="3"/>
  <c r="B27" i="3" s="1"/>
  <c r="D16" i="3"/>
  <c r="B16" i="3" s="1"/>
  <c r="D11" i="3"/>
  <c r="B11" i="3" s="1"/>
  <c r="D31" i="3"/>
  <c r="B31" i="3" s="1"/>
  <c r="D14" i="3"/>
  <c r="B14" i="3" s="1"/>
  <c r="D17" i="3"/>
  <c r="B17" i="3" s="1"/>
  <c r="D29" i="3"/>
  <c r="B29" i="3" s="1"/>
  <c r="D21" i="3"/>
  <c r="B21" i="3" s="1"/>
  <c r="D22" i="3"/>
  <c r="B22" i="3" s="1"/>
  <c r="D2" i="3"/>
  <c r="B2" i="3" l="1"/>
  <c r="D3" i="3"/>
  <c r="B3" i="3" l="1"/>
  <c r="D4" i="3"/>
  <c r="D46" i="3" l="1"/>
  <c r="B4" i="3"/>
  <c r="E49" i="3"/>
  <c r="D43" i="3"/>
  <c r="D49" i="3"/>
  <c r="D40" i="3"/>
  <c r="B43" i="3" l="1"/>
  <c r="B49" i="3"/>
  <c r="B40" i="3"/>
  <c r="B46" i="3"/>
</calcChain>
</file>

<file path=xl/sharedStrings.xml><?xml version="1.0" encoding="utf-8"?>
<sst xmlns="http://schemas.openxmlformats.org/spreadsheetml/2006/main" count="289" uniqueCount="83">
  <si>
    <t>Joueur</t>
  </si>
  <si>
    <t>Pseudo</t>
  </si>
  <si>
    <t>Partie 1</t>
  </si>
  <si>
    <t>Partie 2</t>
  </si>
  <si>
    <t>Partie 3</t>
  </si>
  <si>
    <t>Partie 4</t>
  </si>
  <si>
    <t>Partie 5</t>
  </si>
  <si>
    <t>Partie 6</t>
  </si>
  <si>
    <t>Partie 7</t>
  </si>
  <si>
    <t>Partie 8</t>
  </si>
  <si>
    <t>Partie 9</t>
  </si>
  <si>
    <t>Partie 10</t>
  </si>
  <si>
    <t>Partie 11</t>
  </si>
  <si>
    <t>Partie 12</t>
  </si>
  <si>
    <t>Partie 13</t>
  </si>
  <si>
    <t>Partie 14</t>
  </si>
  <si>
    <t>Partie 15</t>
  </si>
  <si>
    <t>Partie 16</t>
  </si>
  <si>
    <t>Partie 17</t>
  </si>
  <si>
    <t>Partie 18</t>
  </si>
  <si>
    <t>Partie 19</t>
  </si>
  <si>
    <t>Partie 20</t>
  </si>
  <si>
    <t>Moyenne</t>
  </si>
  <si>
    <t>Score final</t>
  </si>
  <si>
    <t>Counter Strike 2</t>
  </si>
  <si>
    <t>Teamfight Tactics</t>
  </si>
  <si>
    <t>Score</t>
  </si>
  <si>
    <t>Position</t>
  </si>
  <si>
    <t>Score le plus faible</t>
  </si>
  <si>
    <t>Score le plus haut</t>
  </si>
  <si>
    <t>Partie</t>
  </si>
  <si>
    <t>https://steamcommunity.com/sharedfiles/filedetails/?id=2823410371&amp;searchtext=mw2+scoreboard</t>
  </si>
  <si>
    <t xml:space="preserve">Meilleur joueur : </t>
  </si>
  <si>
    <t>Second :</t>
  </si>
  <si>
    <t>Point</t>
  </si>
  <si>
    <t>Troisième :</t>
  </si>
  <si>
    <t>Dernier :</t>
  </si>
  <si>
    <t>Kill</t>
  </si>
  <si>
    <t>Death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</si>
  <si>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</si>
  <si>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</si>
  <si>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</si>
  <si>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</si>
  <si>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</si>
  <si>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</si>
  <si>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</si>
  <si>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</si>
  <si>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</si>
  <si>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</si>
  <si>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</si>
  <si>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</si>
  <si>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</si>
  <si>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</si>
  <si>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</si>
  <si>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</si>
  <si>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</si>
  <si>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</si>
  <si>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</si>
  <si>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</si>
  <si>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NP°</t>
  </si>
  <si>
    <t>SCO</t>
  </si>
  <si>
    <t>JMAX</t>
  </si>
  <si>
    <t>NBPP</t>
  </si>
  <si>
    <t>PX</t>
  </si>
  <si>
    <t>=</t>
  </si>
  <si>
    <t>Score calculé</t>
  </si>
  <si>
    <t>Position partie X</t>
  </si>
  <si>
    <t>/!\ calculé automatiquement</t>
  </si>
  <si>
    <t>Prophunter</t>
  </si>
  <si>
    <t>Numéro de pool du joueur</t>
  </si>
  <si>
    <t>Nombre calculé de joueur par pool</t>
  </si>
  <si>
    <t>Qte Repas 1</t>
  </si>
  <si>
    <t>Qte Repas 2</t>
  </si>
  <si>
    <t>Qte Repas 3</t>
  </si>
  <si>
    <t>Qte Repas 4</t>
  </si>
  <si>
    <t>Qte Repas 5</t>
  </si>
  <si>
    <t>Repas 1 :</t>
  </si>
  <si>
    <t xml:space="preserve">Repas 2: </t>
  </si>
  <si>
    <t>Repas 3:</t>
  </si>
  <si>
    <t>Repas 4:</t>
  </si>
  <si>
    <t xml:space="preserve"> </t>
  </si>
  <si>
    <t>Repas 5 :</t>
  </si>
  <si>
    <t>Somme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</si>
</sst>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FF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3" borderId="4" xfId="0" applyFill="1" applyBorder="1"/>
    <xf numFmtId="0" fontId="0" fillId="9" borderId="2" xfId="0" applyFill="1" applyBorder="1"/>
    <xf numFmtId="0" fontId="4" fillId="0" borderId="0" xfId="0" applyFont="1" applyAlignment="1"/>
    <xf numFmtId="0" fontId="0" fillId="8" borderId="2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2" fillId="11" borderId="15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6" fillId="0" borderId="5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8" borderId="17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0" fontId="0" fillId="0" borderId="26" xfId="0" applyBorder="1"/>
    <xf numFmtId="0" fontId="0" fillId="2" borderId="4" xfId="0" applyFill="1" applyBorder="1"/>
    <xf numFmtId="0" fontId="0" fillId="8" borderId="6" xfId="0" applyFill="1" applyBorder="1"/>
    <xf numFmtId="0" fontId="0" fillId="2" borderId="5" xfId="0" applyFill="1" applyBorder="1"/>
    <xf numFmtId="0" fontId="0" fillId="2" borderId="1" xfId="0" applyFill="1" applyBorder="1"/>
    <xf numFmtId="0" fontId="6" fillId="3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7" xfId="0" applyBorder="1"/>
    <xf numFmtId="0" fontId="0" fillId="2" borderId="29" xfId="0" applyFill="1" applyBorder="1"/>
    <xf numFmtId="0" fontId="0" fillId="0" borderId="31" xfId="0" applyBorder="1"/>
    <xf numFmtId="0" fontId="0" fillId="0" borderId="32" xfId="0" applyBorder="1"/>
    <xf numFmtId="0" fontId="0" fillId="0" borderId="29" xfId="0" applyBorder="1"/>
    <xf numFmtId="0" fontId="0" fillId="8" borderId="5" xfId="0" applyFill="1" applyBorder="1"/>
    <xf numFmtId="0" fontId="0" fillId="8" borderId="29" xfId="0" applyFill="1" applyBorder="1"/>
    <xf numFmtId="0" fontId="0" fillId="17" borderId="5" xfId="0" applyFill="1" applyBorder="1"/>
    <xf numFmtId="0" fontId="0" fillId="17" borderId="29" xfId="0" applyFill="1" applyBorder="1"/>
    <xf numFmtId="0" fontId="0" fillId="17" borderId="7" xfId="0" applyFill="1" applyBorder="1"/>
    <xf numFmtId="0" fontId="0" fillId="17" borderId="6" xfId="0" applyFill="1" applyBorder="1"/>
    <xf numFmtId="0" fontId="0" fillId="3" borderId="0" xfId="0" applyFill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2" fillId="7" borderId="13" xfId="0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0" fontId="3" fillId="17" borderId="13" xfId="0" applyFont="1" applyFill="1" applyBorder="1" applyAlignment="1">
      <alignment horizontal="center"/>
    </xf>
    <xf numFmtId="0" fontId="3" fillId="17" borderId="2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0" fontId="2" fillId="18" borderId="2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22" xfId="0" applyFont="1" applyFill="1" applyBorder="1" applyAlignment="1">
      <alignment horizontal="center"/>
    </xf>
    <xf numFmtId="0" fontId="3" fillId="19" borderId="13" xfId="0" applyFont="1" applyFill="1" applyBorder="1" applyAlignment="1">
      <alignment horizontal="center"/>
    </xf>
    <xf numFmtId="0" fontId="3" fillId="19" borderId="2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3" fillId="20" borderId="13" xfId="0" applyFont="1" applyFill="1" applyBorder="1" applyAlignment="1">
      <alignment horizontal="center"/>
    </xf>
    <xf numFmtId="0" fontId="3" fillId="20" borderId="2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0" fontId="2" fillId="23" borderId="13" xfId="0" applyFont="1" applyFill="1" applyBorder="1" applyAlignment="1">
      <alignment horizontal="center"/>
    </xf>
    <xf numFmtId="0" fontId="2" fillId="23" borderId="22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21" borderId="13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center"/>
    </xf>
    <xf numFmtId="0" fontId="3" fillId="15" borderId="13" xfId="0" applyFont="1" applyFill="1" applyBorder="1" applyAlignment="1">
      <alignment horizontal="center"/>
    </xf>
    <xf numFmtId="0" fontId="3" fillId="15" borderId="22" xfId="0" applyFont="1" applyFill="1" applyBorder="1" applyAlignment="1">
      <alignment horizontal="center"/>
    </xf>
    <xf numFmtId="0" fontId="3" fillId="22" borderId="13" xfId="0" applyFont="1" applyFill="1" applyBorder="1" applyAlignment="1">
      <alignment horizontal="center"/>
    </xf>
    <xf numFmtId="0" fontId="3" fillId="22" borderId="2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3" fillId="13" borderId="22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/>
    </xf>
    <xf numFmtId="0" fontId="2" fillId="14" borderId="22" xfId="0" applyFont="1" applyFill="1" applyBorder="1" applyAlignment="1">
      <alignment horizontal="center"/>
    </xf>
    <xf numFmtId="0" fontId="2" fillId="16" borderId="13" xfId="0" applyFont="1" applyFill="1" applyBorder="1" applyAlignment="1">
      <alignment horizontal="center"/>
    </xf>
    <xf numFmtId="0" fontId="2" fillId="16" borderId="22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/>
    </xf>
    <xf numFmtId="0" fontId="2" fillId="7" borderId="26" xfId="0" applyFont="1" applyFill="1" applyBorder="1" applyAlignment="1">
      <alignment horizontal="center"/>
    </xf>
    <xf numFmtId="0" fontId="2" fillId="28" borderId="17" xfId="0" applyFont="1" applyFill="1" applyBorder="1" applyAlignment="1">
      <alignment horizontal="center"/>
    </xf>
    <xf numFmtId="0" fontId="2" fillId="28" borderId="25" xfId="0" applyFont="1" applyFill="1" applyBorder="1" applyAlignment="1">
      <alignment horizontal="center"/>
    </xf>
    <xf numFmtId="0" fontId="2" fillId="28" borderId="26" xfId="0" applyFont="1" applyFill="1" applyBorder="1" applyAlignment="1">
      <alignment horizontal="center"/>
    </xf>
    <xf numFmtId="0" fontId="2" fillId="14" borderId="17" xfId="0" applyFont="1" applyFill="1" applyBorder="1" applyAlignment="1">
      <alignment horizontal="center"/>
    </xf>
    <xf numFmtId="0" fontId="2" fillId="14" borderId="25" xfId="0" applyFont="1" applyFill="1" applyBorder="1" applyAlignment="1">
      <alignment horizontal="center"/>
    </xf>
    <xf numFmtId="0" fontId="2" fillId="14" borderId="26" xfId="0" applyFont="1" applyFill="1" applyBorder="1" applyAlignment="1">
      <alignment horizontal="center"/>
    </xf>
    <xf numFmtId="0" fontId="2" fillId="29" borderId="17" xfId="0" applyFont="1" applyFill="1" applyBorder="1" applyAlignment="1">
      <alignment horizontal="center"/>
    </xf>
    <xf numFmtId="0" fontId="2" fillId="29" borderId="25" xfId="0" applyFont="1" applyFill="1" applyBorder="1" applyAlignment="1">
      <alignment horizontal="center"/>
    </xf>
    <xf numFmtId="0" fontId="2" fillId="29" borderId="26" xfId="0" applyFont="1" applyFill="1" applyBorder="1" applyAlignment="1">
      <alignment horizontal="center"/>
    </xf>
    <xf numFmtId="0" fontId="3" fillId="30" borderId="17" xfId="0" applyFont="1" applyFill="1" applyBorder="1" applyAlignment="1">
      <alignment horizontal="center"/>
    </xf>
    <xf numFmtId="0" fontId="3" fillId="30" borderId="25" xfId="0" applyFont="1" applyFill="1" applyBorder="1" applyAlignment="1">
      <alignment horizontal="center"/>
    </xf>
    <xf numFmtId="0" fontId="3" fillId="30" borderId="26" xfId="0" applyFont="1" applyFill="1" applyBorder="1" applyAlignment="1">
      <alignment horizontal="center"/>
    </xf>
    <xf numFmtId="0" fontId="2" fillId="27" borderId="17" xfId="0" applyFont="1" applyFill="1" applyBorder="1" applyAlignment="1">
      <alignment horizontal="center"/>
    </xf>
    <xf numFmtId="0" fontId="2" fillId="27" borderId="25" xfId="0" applyFont="1" applyFill="1" applyBorder="1" applyAlignment="1">
      <alignment horizontal="center"/>
    </xf>
    <xf numFmtId="0" fontId="2" fillId="27" borderId="26" xfId="0" applyFont="1" applyFill="1" applyBorder="1" applyAlignment="1">
      <alignment horizontal="center"/>
    </xf>
    <xf numFmtId="0" fontId="2" fillId="22" borderId="17" xfId="0" applyFont="1" applyFill="1" applyBorder="1" applyAlignment="1">
      <alignment horizontal="center"/>
    </xf>
    <xf numFmtId="0" fontId="2" fillId="22" borderId="25" xfId="0" applyFont="1" applyFill="1" applyBorder="1" applyAlignment="1">
      <alignment horizontal="center"/>
    </xf>
    <xf numFmtId="0" fontId="2" fillId="22" borderId="26" xfId="0" applyFont="1" applyFill="1" applyBorder="1" applyAlignment="1">
      <alignment horizontal="center"/>
    </xf>
    <xf numFmtId="0" fontId="5" fillId="31" borderId="17" xfId="0" applyFont="1" applyFill="1" applyBorder="1" applyAlignment="1">
      <alignment horizontal="center"/>
    </xf>
    <xf numFmtId="0" fontId="5" fillId="31" borderId="25" xfId="0" applyFont="1" applyFill="1" applyBorder="1" applyAlignment="1">
      <alignment horizontal="center"/>
    </xf>
    <xf numFmtId="0" fontId="5" fillId="31" borderId="26" xfId="0" applyFont="1" applyFill="1" applyBorder="1" applyAlignment="1">
      <alignment horizontal="center"/>
    </xf>
    <xf numFmtId="0" fontId="3" fillId="21" borderId="17" xfId="0" applyFont="1" applyFill="1" applyBorder="1" applyAlignment="1">
      <alignment horizontal="center"/>
    </xf>
    <xf numFmtId="0" fontId="3" fillId="21" borderId="25" xfId="0" applyFont="1" applyFill="1" applyBorder="1" applyAlignment="1">
      <alignment horizontal="center"/>
    </xf>
    <xf numFmtId="0" fontId="3" fillId="21" borderId="26" xfId="0" applyFont="1" applyFill="1" applyBorder="1" applyAlignment="1">
      <alignment horizontal="center"/>
    </xf>
    <xf numFmtId="0" fontId="2" fillId="26" borderId="17" xfId="0" applyFont="1" applyFill="1" applyBorder="1" applyAlignment="1">
      <alignment horizontal="center"/>
    </xf>
    <xf numFmtId="0" fontId="2" fillId="26" borderId="25" xfId="0" applyFont="1" applyFill="1" applyBorder="1" applyAlignment="1">
      <alignment horizontal="center"/>
    </xf>
    <xf numFmtId="0" fontId="2" fillId="26" borderId="26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0" fontId="2" fillId="23" borderId="17" xfId="0" applyFont="1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13" borderId="17" xfId="0" applyFont="1" applyFill="1" applyBorder="1" applyAlignment="1">
      <alignment horizontal="center"/>
    </xf>
    <xf numFmtId="0" fontId="3" fillId="13" borderId="25" xfId="0" applyFont="1" applyFill="1" applyBorder="1" applyAlignment="1">
      <alignment horizontal="center"/>
    </xf>
    <xf numFmtId="0" fontId="3" fillId="13" borderId="26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11" borderId="17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center"/>
    </xf>
    <xf numFmtId="0" fontId="3" fillId="15" borderId="17" xfId="0" applyFont="1" applyFill="1" applyBorder="1" applyAlignment="1">
      <alignment horizontal="center"/>
    </xf>
    <xf numFmtId="0" fontId="3" fillId="15" borderId="25" xfId="0" applyFont="1" applyFill="1" applyBorder="1" applyAlignment="1">
      <alignment horizontal="center"/>
    </xf>
    <xf numFmtId="0" fontId="3" fillId="15" borderId="26" xfId="0" applyFont="1" applyFill="1" applyBorder="1" applyAlignment="1">
      <alignment horizontal="center"/>
    </xf>
    <xf numFmtId="0" fontId="3" fillId="9" borderId="17" xfId="0" applyFont="1" applyFill="1" applyBorder="1" applyAlignment="1">
      <alignment horizontal="center"/>
    </xf>
    <xf numFmtId="0" fontId="3" fillId="9" borderId="25" xfId="0" applyFont="1" applyFill="1" applyBorder="1" applyAlignment="1">
      <alignment horizontal="center"/>
    </xf>
    <xf numFmtId="0" fontId="3" fillId="9" borderId="26" xfId="0" applyFont="1" applyFill="1" applyBorder="1" applyAlignment="1">
      <alignment horizontal="center"/>
    </xf>
    <xf numFmtId="0" fontId="3" fillId="19" borderId="17" xfId="0" applyFont="1" applyFill="1" applyBorder="1" applyAlignment="1">
      <alignment horizontal="center"/>
    </xf>
    <xf numFmtId="0" fontId="3" fillId="19" borderId="25" xfId="0" applyFont="1" applyFill="1" applyBorder="1" applyAlignment="1">
      <alignment horizontal="center"/>
    </xf>
    <xf numFmtId="0" fontId="3" fillId="19" borderId="26" xfId="0" applyFont="1" applyFill="1" applyBorder="1" applyAlignment="1">
      <alignment horizontal="center"/>
    </xf>
    <xf numFmtId="0" fontId="2" fillId="24" borderId="17" xfId="0" applyFont="1" applyFill="1" applyBorder="1" applyAlignment="1">
      <alignment horizontal="center"/>
    </xf>
    <xf numFmtId="0" fontId="2" fillId="24" borderId="25" xfId="0" applyFont="1" applyFill="1" applyBorder="1" applyAlignment="1">
      <alignment horizontal="center"/>
    </xf>
    <xf numFmtId="0" fontId="2" fillId="24" borderId="26" xfId="0" applyFont="1" applyFill="1" applyBorder="1" applyAlignment="1">
      <alignment horizontal="center"/>
    </xf>
    <xf numFmtId="0" fontId="2" fillId="25" borderId="17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6" xfId="0" applyFont="1" applyFill="1" applyBorder="1" applyAlignment="1">
      <alignment horizontal="center"/>
    </xf>
    <xf numFmtId="0" fontId="0" fillId="3" borderId="27" xfId="0" applyFill="1" applyBorder="1"/>
    <xf numFmtId="0" fontId="0" fillId="17" borderId="0" xfId="0" applyFill="1" applyBorder="1"/>
    <xf numFmtId="0" fontId="0" fillId="0" borderId="30" xfId="0" applyBorder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CCCCFF"/>
      <color rgb="FF66FF99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1</xdr:col>
          <xdr:colOff>9525</xdr:colOff>
          <xdr:row>35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9525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2051" name="RazCS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2052" name="RazTF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3" name="RazProphun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9525</xdr:colOff>
          <xdr:row>37</xdr:row>
          <xdr:rowOff>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1</xdr:col>
          <xdr:colOff>0</xdr:colOff>
          <xdr:row>38</xdr:row>
          <xdr:rowOff>28575</xdr:rowOff>
        </xdr:to>
        <xdr:sp macro="" textlink="">
          <xdr:nvSpPr>
            <xdr:cNvPr id="2059" name="CheckBox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0</xdr:rowOff>
        </xdr:from>
        <xdr:to>
          <xdr:col>1</xdr:col>
          <xdr:colOff>0</xdr:colOff>
          <xdr:row>39</xdr:row>
          <xdr:rowOff>19050</xdr:rowOff>
        </xdr:to>
        <xdr:sp macro="" textlink="">
          <xdr:nvSpPr>
            <xdr:cNvPr id="2060" name="CheckBox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171450</xdr:rowOff>
        </xdr:from>
        <xdr:to>
          <xdr:col>1</xdr:col>
          <xdr:colOff>0</xdr:colOff>
          <xdr:row>40</xdr:row>
          <xdr:rowOff>9525</xdr:rowOff>
        </xdr:to>
        <xdr:sp macro="" textlink="">
          <xdr:nvSpPr>
            <xdr:cNvPr id="2061" name="CheckBox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0</xdr:rowOff>
        </xdr:from>
        <xdr:to>
          <xdr:col>1</xdr:col>
          <xdr:colOff>0</xdr:colOff>
          <xdr:row>36</xdr:row>
          <xdr:rowOff>9525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19050</xdr:rowOff>
        </xdr:from>
        <xdr:to>
          <xdr:col>7</xdr:col>
          <xdr:colOff>0</xdr:colOff>
          <xdr:row>36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9525</xdr:rowOff>
        </xdr:from>
        <xdr:to>
          <xdr:col>6</xdr:col>
          <xdr:colOff>219075</xdr:colOff>
          <xdr:row>37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9525</xdr:rowOff>
        </xdr:from>
        <xdr:to>
          <xdr:col>7</xdr:col>
          <xdr:colOff>9525</xdr:colOff>
          <xdr:row>37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32AC03-1F4B-4690-B13B-48006DD34765}" name="Tableau2" displayName="Tableau2" ref="A1:E33" totalsRowShown="0" headerRowBorderDxfId="7" tableBorderDxfId="6">
  <autoFilter ref="A1:E33" xr:uid="{1532AC03-1F4B-4690-B13B-48006DD34765}"/>
  <tableColumns count="5">
    <tableColumn id="1" xr3:uid="{29B240FC-6566-41CA-8E93-73C6F5962705}" name="Pseudo" dataDxfId="5"/>
    <tableColumn id="2" xr3:uid="{43CCE366-89D4-4FCD-A1EE-494C8318BBEF}" name="Score final" dataDxfId="0">
      <calculatedColumnFormula>SUM(C2:ZZ2)</calculatedColumnFormula>
    </tableColumn>
    <tableColumn id="3" xr3:uid="{E5B8325A-587D-4347-9549-9EC230133EF6}" name="Counter Strike 2" dataDxfId="1">
      <calculatedColumnFormula>IF('Counter Strike 2'!AR2 &lt;&gt; "", 'Counter Strike 2'!AR2, "0")</calculatedColumnFormula>
    </tableColumn>
    <tableColumn id="4" xr3:uid="{57216A1F-C0CA-4DC1-A5AA-E569449B2CDF}" name="Teamfight Tactics" dataDxfId="3">
      <calculatedColumnFormula>IF('Teamfight tactics'!CD2 &lt;&gt; "", 'Teamfight tactics'!CD2, "0")</calculatedColumnFormula>
    </tableColumn>
    <tableColumn id="5" xr3:uid="{B741B016-BF7D-4326-ACDA-D712D7B2BF64}" name="Prophunter" dataDxfId="2">
      <calculatedColumnFormula>IF(Prophunt!AR2 &lt;&gt; "", Prophunt!AR2, "0")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647FCE-2215-48CD-8DFE-AFBA5FFB399E}" name="Tableau1" displayName="Tableau1" ref="A2:F34" totalsRowShown="0">
  <autoFilter ref="A2:F34" xr:uid="{AC647FCE-2215-48CD-8DFE-AFBA5FFB399E}"/>
  <tableColumns count="6">
    <tableColumn id="1" xr3:uid="{A940FCBD-3A79-4689-AC10-46E801D6D414}" name=" " dataDxfId="4">
      <calculatedColumnFormula>IF('Score joueurs'!A2 &lt;&gt; "", 'Score joueurs'!A2, "")</calculatedColumnFormula>
    </tableColumn>
    <tableColumn id="2" xr3:uid="{B4E3458A-12AE-4E98-8BAD-7E3ACB756D55}" name="Qte Repas 1"/>
    <tableColumn id="3" xr3:uid="{96FF7C10-E1EB-4D61-8F6D-3966A6E02D9A}" name="Qte Repas 2"/>
    <tableColumn id="4" xr3:uid="{27341735-DE47-44A1-848A-1BB19CE5FA9C}" name="Qte Repas 3"/>
    <tableColumn id="5" xr3:uid="{097588AA-F600-4DAB-A22D-805FFFCA68F4}" name="Qte Repas 4"/>
    <tableColumn id="6" xr3:uid="{C679DB6D-DE0B-470D-8BA5-48B8452D0752}" name="Qte Repas 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10A6-7BB9-4071-B771-247E2FE406D7}">
  <sheetPr codeName="Feuil1">
    <tabColor rgb="FFFF0000"/>
  </sheetPr>
  <dimension ref="A1:I49"/>
  <sheetViews>
    <sheetView tabSelected="1" zoomScaleNormal="100" workbookViewId="0">
      <pane ySplit="1" topLeftCell="A2" activePane="bottomLeft" state="frozen"/>
      <selection pane="bottomLeft" activeCell="G31" sqref="G31"/>
    </sheetView>
  </sheetViews>
  <sheetFormatPr baseColWidth="10" defaultColWidth="8.85546875" defaultRowHeight="15" x14ac:dyDescent="0.25"/>
  <cols>
    <col min="1" max="1" width="17.7109375" customWidth="1"/>
    <col min="2" max="2" width="18.42578125" customWidth="1"/>
    <col min="3" max="4" width="17.7109375" customWidth="1"/>
    <col min="5" max="5" width="17.5703125" customWidth="1"/>
    <col min="6" max="6" width="17.85546875" customWidth="1"/>
    <col min="7" max="8" width="17.7109375" customWidth="1"/>
    <col min="9" max="9" width="18" customWidth="1"/>
  </cols>
  <sheetData>
    <row r="1" spans="1:9" ht="15.75" thickBot="1" x14ac:dyDescent="0.3">
      <c r="A1" s="14" t="s">
        <v>1</v>
      </c>
      <c r="B1" s="15" t="s">
        <v>23</v>
      </c>
      <c r="C1" s="16" t="s">
        <v>24</v>
      </c>
      <c r="D1" s="17" t="s">
        <v>25</v>
      </c>
      <c r="E1" s="20" t="s">
        <v>68</v>
      </c>
    </row>
    <row r="2" spans="1:9" ht="14.45" customHeight="1" x14ac:dyDescent="0.5">
      <c r="A2" s="10"/>
      <c r="B2" s="30">
        <f t="shared" ref="B2:B33" si="0">SUM(C2:ZZ2)</f>
        <v>0</v>
      </c>
      <c r="C2" s="19" t="str">
        <f>IF('Counter Strike 2'!AR2 &lt;&gt; "", 'Counter Strike 2'!AR2, "0")</f>
        <v>0</v>
      </c>
      <c r="D2" s="39" t="str">
        <f>IF('Teamfight tactics'!CD2 &lt;&gt; "", 'Teamfight tactics'!CD2, "0")</f>
        <v>0</v>
      </c>
      <c r="E2" s="40" t="str">
        <f>IF(Prophunt!AR2 &lt;&gt; "", Prophunt!AR2, "0")</f>
        <v>0</v>
      </c>
      <c r="F2" s="8"/>
      <c r="G2" s="8"/>
      <c r="H2" s="8"/>
      <c r="I2" s="8"/>
    </row>
    <row r="3" spans="1:9" x14ac:dyDescent="0.25">
      <c r="A3" s="12"/>
      <c r="B3" s="30">
        <f t="shared" si="0"/>
        <v>0</v>
      </c>
      <c r="C3" s="19" t="str">
        <f>IF('Counter Strike 2'!AR3 &lt;&gt; "", 'Counter Strike 2'!AR3, "0")</f>
        <v>0</v>
      </c>
      <c r="D3" s="39" t="str">
        <f>IF('Teamfight tactics'!CD3 &lt;&gt; "", 'Teamfight tactics'!CD3, "0")</f>
        <v>0</v>
      </c>
      <c r="E3" s="40" t="str">
        <f>IF(Prophunt!AR3 &lt;&gt; "", Prophunt!AR3, "0")</f>
        <v>0</v>
      </c>
    </row>
    <row r="4" spans="1:9" x14ac:dyDescent="0.25">
      <c r="A4" s="12"/>
      <c r="B4" s="30">
        <f t="shared" si="0"/>
        <v>0</v>
      </c>
      <c r="C4" s="19" t="str">
        <f>IF('Counter Strike 2'!AR4 &lt;&gt; "", 'Counter Strike 2'!AR4, "0")</f>
        <v>0</v>
      </c>
      <c r="D4" s="39" t="str">
        <f>IF('Teamfight tactics'!CD4 &lt;&gt; "", 'Teamfight tactics'!CD4, "0")</f>
        <v>0</v>
      </c>
      <c r="E4" s="40" t="str">
        <f>IF(Prophunt!AR4 &lt;&gt; "", Prophunt!AR4, "0")</f>
        <v>0</v>
      </c>
    </row>
    <row r="5" spans="1:9" x14ac:dyDescent="0.25">
      <c r="A5" s="12"/>
      <c r="B5" s="30">
        <f t="shared" si="0"/>
        <v>0</v>
      </c>
      <c r="C5" s="19" t="str">
        <f>IF('Counter Strike 2'!AR5 &lt;&gt; "", 'Counter Strike 2'!AR5, "0")</f>
        <v>0</v>
      </c>
      <c r="D5" s="39" t="str">
        <f>IF('Teamfight tactics'!CD5 &lt;&gt; "", 'Teamfight tactics'!CD5, "0")</f>
        <v>0</v>
      </c>
      <c r="E5" s="40" t="str">
        <f>IF(Prophunt!AR5 &lt;&gt; "", Prophunt!AR5, "0")</f>
        <v>0</v>
      </c>
    </row>
    <row r="6" spans="1:9" x14ac:dyDescent="0.25">
      <c r="A6" s="12"/>
      <c r="B6" s="30">
        <f t="shared" si="0"/>
        <v>0</v>
      </c>
      <c r="C6" s="19" t="str">
        <f>IF('Counter Strike 2'!AR6 &lt;&gt; "", 'Counter Strike 2'!AR6, "0")</f>
        <v>0</v>
      </c>
      <c r="D6" s="39" t="str">
        <f>IF('Teamfight tactics'!CD6 &lt;&gt; "", 'Teamfight tactics'!CD6, "0")</f>
        <v>0</v>
      </c>
      <c r="E6" s="40" t="str">
        <f>IF(Prophunt!AR6 &lt;&gt; "", Prophunt!AR6, "0")</f>
        <v>0</v>
      </c>
    </row>
    <row r="7" spans="1:9" x14ac:dyDescent="0.25">
      <c r="A7" s="12"/>
      <c r="B7" s="30">
        <f t="shared" si="0"/>
        <v>0</v>
      </c>
      <c r="C7" s="19" t="str">
        <f>IF('Counter Strike 2'!AR7 &lt;&gt; "", 'Counter Strike 2'!AR7, "0")</f>
        <v>0</v>
      </c>
      <c r="D7" s="39" t="str">
        <f>IF('Teamfight tactics'!CD7 &lt;&gt; "", 'Teamfight tactics'!CD7, "0")</f>
        <v>0</v>
      </c>
      <c r="E7" s="40" t="str">
        <f>IF(Prophunt!AR7 &lt;&gt; "", Prophunt!AR7, "0")</f>
        <v>0</v>
      </c>
    </row>
    <row r="8" spans="1:9" x14ac:dyDescent="0.25">
      <c r="A8" s="12"/>
      <c r="B8" s="30">
        <f t="shared" si="0"/>
        <v>0</v>
      </c>
      <c r="C8" s="19" t="str">
        <f>IF('Counter Strike 2'!AR8 &lt;&gt; "", 'Counter Strike 2'!AR8, "0")</f>
        <v>0</v>
      </c>
      <c r="D8" s="39" t="str">
        <f>IF('Teamfight tactics'!CD8 &lt;&gt; "", 'Teamfight tactics'!CD8, "0")</f>
        <v>0</v>
      </c>
      <c r="E8" s="40" t="str">
        <f>IF(Prophunt!AR8 &lt;&gt; "", Prophunt!AR8, "0")</f>
        <v>0</v>
      </c>
    </row>
    <row r="9" spans="1:9" x14ac:dyDescent="0.25">
      <c r="A9" s="12"/>
      <c r="B9" s="30">
        <f t="shared" si="0"/>
        <v>0</v>
      </c>
      <c r="C9" s="19" t="str">
        <f>IF('Counter Strike 2'!AR9 &lt;&gt; "", 'Counter Strike 2'!AR9, "0")</f>
        <v>0</v>
      </c>
      <c r="D9" s="39" t="str">
        <f>IF('Teamfight tactics'!CD9 &lt;&gt; "", 'Teamfight tactics'!CD9, "0")</f>
        <v>0</v>
      </c>
      <c r="E9" s="40" t="str">
        <f>IF(Prophunt!AR9 &lt;&gt; "", Prophunt!AR9, "0")</f>
        <v>0</v>
      </c>
    </row>
    <row r="10" spans="1:9" x14ac:dyDescent="0.25">
      <c r="A10" s="12"/>
      <c r="B10" s="30">
        <f t="shared" si="0"/>
        <v>0</v>
      </c>
      <c r="C10" s="19" t="str">
        <f>IF('Counter Strike 2'!AR10 &lt;&gt; "", 'Counter Strike 2'!AR10, "0")</f>
        <v>0</v>
      </c>
      <c r="D10" s="39" t="str">
        <f>IF('Teamfight tactics'!CD10 &lt;&gt; "", 'Teamfight tactics'!CD10, "0")</f>
        <v>0</v>
      </c>
      <c r="E10" s="40" t="str">
        <f>IF(Prophunt!AR10 &lt;&gt; "", Prophunt!AR10, "0")</f>
        <v>0</v>
      </c>
    </row>
    <row r="11" spans="1:9" x14ac:dyDescent="0.25">
      <c r="A11" s="12"/>
      <c r="B11" s="30">
        <f t="shared" si="0"/>
        <v>0</v>
      </c>
      <c r="C11" s="19" t="str">
        <f>IF('Counter Strike 2'!AR11 &lt;&gt; "", 'Counter Strike 2'!AR11, "0")</f>
        <v>0</v>
      </c>
      <c r="D11" s="39" t="str">
        <f>IF('Teamfight tactics'!CD11 &lt;&gt; "", 'Teamfight tactics'!CD11, "0")</f>
        <v>0</v>
      </c>
      <c r="E11" s="40" t="str">
        <f>IF(Prophunt!AR11 &lt;&gt; "", Prophunt!AR11, "0")</f>
        <v>0</v>
      </c>
    </row>
    <row r="12" spans="1:9" x14ac:dyDescent="0.25">
      <c r="A12" s="12"/>
      <c r="B12" s="30">
        <f t="shared" si="0"/>
        <v>0</v>
      </c>
      <c r="C12" s="19" t="str">
        <f>IF('Counter Strike 2'!AR12 &lt;&gt; "", 'Counter Strike 2'!AR12, "0")</f>
        <v>0</v>
      </c>
      <c r="D12" s="39" t="str">
        <f>IF('Teamfight tactics'!CD12 &lt;&gt; "", 'Teamfight tactics'!CD12, "0")</f>
        <v>0</v>
      </c>
      <c r="E12" s="40" t="str">
        <f>IF(Prophunt!AR12 &lt;&gt; "", Prophunt!AR12, "0")</f>
        <v>0</v>
      </c>
    </row>
    <row r="13" spans="1:9" x14ac:dyDescent="0.25">
      <c r="A13" s="12"/>
      <c r="B13" s="30">
        <f t="shared" si="0"/>
        <v>0</v>
      </c>
      <c r="C13" s="19" t="str">
        <f>IF('Counter Strike 2'!AR13 &lt;&gt; "", 'Counter Strike 2'!AR13, "0")</f>
        <v>0</v>
      </c>
      <c r="D13" s="39" t="str">
        <f>IF('Teamfight tactics'!CD13 &lt;&gt; "", 'Teamfight tactics'!CD13, "0")</f>
        <v>0</v>
      </c>
      <c r="E13" s="40" t="str">
        <f>IF(Prophunt!AR13 &lt;&gt; "", Prophunt!AR13, "0")</f>
        <v>0</v>
      </c>
    </row>
    <row r="14" spans="1:9" x14ac:dyDescent="0.25">
      <c r="A14" s="12"/>
      <c r="B14" s="30">
        <f t="shared" si="0"/>
        <v>0</v>
      </c>
      <c r="C14" s="19" t="str">
        <f>IF('Counter Strike 2'!AR14 &lt;&gt; "", 'Counter Strike 2'!AR14, "0")</f>
        <v>0</v>
      </c>
      <c r="D14" s="39" t="str">
        <f>IF('Teamfight tactics'!CD14 &lt;&gt; "", 'Teamfight tactics'!CD14, "0")</f>
        <v>0</v>
      </c>
      <c r="E14" s="40" t="str">
        <f>IF(Prophunt!AR14 &lt;&gt; "", Prophunt!AR14, "0")</f>
        <v>0</v>
      </c>
    </row>
    <row r="15" spans="1:9" x14ac:dyDescent="0.25">
      <c r="A15" s="12"/>
      <c r="B15" s="30">
        <f t="shared" si="0"/>
        <v>0</v>
      </c>
      <c r="C15" s="19" t="str">
        <f>IF('Counter Strike 2'!AR15 &lt;&gt; "", 'Counter Strike 2'!AR15, "0")</f>
        <v>0</v>
      </c>
      <c r="D15" s="39" t="str">
        <f>IF('Teamfight tactics'!CD15 &lt;&gt; "", 'Teamfight tactics'!CD15, "0")</f>
        <v>0</v>
      </c>
      <c r="E15" s="40" t="str">
        <f>IF(Prophunt!AR15 &lt;&gt; "", Prophunt!AR15, "0")</f>
        <v>0</v>
      </c>
    </row>
    <row r="16" spans="1:9" x14ac:dyDescent="0.25">
      <c r="A16" s="12"/>
      <c r="B16" s="30">
        <f t="shared" si="0"/>
        <v>0</v>
      </c>
      <c r="C16" s="19" t="str">
        <f>IF('Counter Strike 2'!AR16 &lt;&gt; "", 'Counter Strike 2'!AR16, "0")</f>
        <v>0</v>
      </c>
      <c r="D16" s="39" t="str">
        <f>IF('Teamfight tactics'!CD16 &lt;&gt; "", 'Teamfight tactics'!CD16, "0")</f>
        <v>0</v>
      </c>
      <c r="E16" s="40" t="str">
        <f>IF(Prophunt!AR16 &lt;&gt; "", Prophunt!AR16, "0")</f>
        <v>0</v>
      </c>
    </row>
    <row r="17" spans="1:5" x14ac:dyDescent="0.25">
      <c r="A17" s="12"/>
      <c r="B17" s="30">
        <f t="shared" si="0"/>
        <v>0</v>
      </c>
      <c r="C17" s="19" t="str">
        <f>IF('Counter Strike 2'!AR17 &lt;&gt; "", 'Counter Strike 2'!AR17, "0")</f>
        <v>0</v>
      </c>
      <c r="D17" s="39" t="str">
        <f>IF('Teamfight tactics'!CD17 &lt;&gt; "", 'Teamfight tactics'!CD17, "0")</f>
        <v>0</v>
      </c>
      <c r="E17" s="40" t="str">
        <f>IF(Prophunt!AR17 &lt;&gt; "", Prophunt!AR17, "0")</f>
        <v>0</v>
      </c>
    </row>
    <row r="18" spans="1:5" x14ac:dyDescent="0.25">
      <c r="A18" s="12"/>
      <c r="B18" s="30">
        <f t="shared" si="0"/>
        <v>0</v>
      </c>
      <c r="C18" s="19" t="str">
        <f>IF('Counter Strike 2'!AR18 &lt;&gt; "", 'Counter Strike 2'!AR18, "0")</f>
        <v>0</v>
      </c>
      <c r="D18" s="39" t="str">
        <f>IF('Teamfight tactics'!CD18 &lt;&gt; "", 'Teamfight tactics'!CD18, "0")</f>
        <v>0</v>
      </c>
      <c r="E18" s="40" t="str">
        <f>IF(Prophunt!AR18 &lt;&gt; "", Prophunt!AR18, "0")</f>
        <v>0</v>
      </c>
    </row>
    <row r="19" spans="1:5" x14ac:dyDescent="0.25">
      <c r="A19" s="12"/>
      <c r="B19" s="30">
        <f t="shared" si="0"/>
        <v>0</v>
      </c>
      <c r="C19" s="19" t="str">
        <f>IF('Counter Strike 2'!AR19 &lt;&gt; "", 'Counter Strike 2'!AR19, "0")</f>
        <v>0</v>
      </c>
      <c r="D19" s="39" t="str">
        <f>IF('Teamfight tactics'!CD19 &lt;&gt; "", 'Teamfight tactics'!CD19, "0")</f>
        <v>0</v>
      </c>
      <c r="E19" s="40" t="str">
        <f>IF(Prophunt!AR19 &lt;&gt; "", Prophunt!AR19, "0")</f>
        <v>0</v>
      </c>
    </row>
    <row r="20" spans="1:5" x14ac:dyDescent="0.25">
      <c r="A20" s="12"/>
      <c r="B20" s="30">
        <f t="shared" si="0"/>
        <v>0</v>
      </c>
      <c r="C20" s="19" t="str">
        <f>IF('Counter Strike 2'!AR20 &lt;&gt; "", 'Counter Strike 2'!AR20, "0")</f>
        <v>0</v>
      </c>
      <c r="D20" s="39" t="str">
        <f>IF('Teamfight tactics'!CD20 &lt;&gt; "", 'Teamfight tactics'!CD20, "0")</f>
        <v>0</v>
      </c>
      <c r="E20" s="40" t="str">
        <f>IF(Prophunt!AR20 &lt;&gt; "", Prophunt!AR20, "0")</f>
        <v>0</v>
      </c>
    </row>
    <row r="21" spans="1:5" x14ac:dyDescent="0.25">
      <c r="A21" s="12"/>
      <c r="B21" s="30">
        <f t="shared" si="0"/>
        <v>0</v>
      </c>
      <c r="C21" s="19" t="str">
        <f>IF('Counter Strike 2'!AR21 &lt;&gt; "", 'Counter Strike 2'!AR21, "0")</f>
        <v>0</v>
      </c>
      <c r="D21" s="39" t="str">
        <f>IF('Teamfight tactics'!CD21 &lt;&gt; "", 'Teamfight tactics'!CD21, "0")</f>
        <v>0</v>
      </c>
      <c r="E21" s="40" t="str">
        <f>IF(Prophunt!AR21 &lt;&gt; "", Prophunt!AR21, "0")</f>
        <v>0</v>
      </c>
    </row>
    <row r="22" spans="1:5" x14ac:dyDescent="0.25">
      <c r="A22" s="12"/>
      <c r="B22" s="30">
        <f t="shared" si="0"/>
        <v>0</v>
      </c>
      <c r="C22" s="19" t="str">
        <f>IF('Counter Strike 2'!AR22 &lt;&gt; "", 'Counter Strike 2'!AR22, "0")</f>
        <v>0</v>
      </c>
      <c r="D22" s="39" t="str">
        <f>IF('Teamfight tactics'!CD22 &lt;&gt; "", 'Teamfight tactics'!CD22, "0")</f>
        <v>0</v>
      </c>
      <c r="E22" s="40" t="str">
        <f>IF(Prophunt!AR22 &lt;&gt; "", Prophunt!AR22, "0")</f>
        <v>0</v>
      </c>
    </row>
    <row r="23" spans="1:5" x14ac:dyDescent="0.25">
      <c r="A23" s="12"/>
      <c r="B23" s="30">
        <f t="shared" si="0"/>
        <v>0</v>
      </c>
      <c r="C23" s="19" t="str">
        <f>IF('Counter Strike 2'!AR23 &lt;&gt; "", 'Counter Strike 2'!AR23, "0")</f>
        <v>0</v>
      </c>
      <c r="D23" s="39" t="str">
        <f>IF('Teamfight tactics'!CD23 &lt;&gt; "", 'Teamfight tactics'!CD23, "0")</f>
        <v>0</v>
      </c>
      <c r="E23" s="40" t="str">
        <f>IF(Prophunt!AR23 &lt;&gt; "", Prophunt!AR23, "0")</f>
        <v>0</v>
      </c>
    </row>
    <row r="24" spans="1:5" x14ac:dyDescent="0.25">
      <c r="A24" s="12"/>
      <c r="B24" s="30">
        <f t="shared" si="0"/>
        <v>0</v>
      </c>
      <c r="C24" s="19" t="str">
        <f>IF('Counter Strike 2'!AR24 &lt;&gt; "", 'Counter Strike 2'!AR24, "0")</f>
        <v>0</v>
      </c>
      <c r="D24" s="39" t="str">
        <f>IF('Teamfight tactics'!CD24 &lt;&gt; "", 'Teamfight tactics'!CD24, "0")</f>
        <v>0</v>
      </c>
      <c r="E24" s="40" t="str">
        <f>IF(Prophunt!AR24 &lt;&gt; "", Prophunt!AR24, "0")</f>
        <v>0</v>
      </c>
    </row>
    <row r="25" spans="1:5" x14ac:dyDescent="0.25">
      <c r="A25" s="12"/>
      <c r="B25" s="30">
        <f t="shared" si="0"/>
        <v>0</v>
      </c>
      <c r="C25" s="19" t="str">
        <f>IF('Counter Strike 2'!AR25 &lt;&gt; "", 'Counter Strike 2'!AR25, "0")</f>
        <v>0</v>
      </c>
      <c r="D25" s="39" t="str">
        <f>IF('Teamfight tactics'!CD25 &lt;&gt; "", 'Teamfight tactics'!CD25, "0")</f>
        <v>0</v>
      </c>
      <c r="E25" s="40" t="str">
        <f>IF(Prophunt!AR25 &lt;&gt; "", Prophunt!AR25, "0")</f>
        <v>0</v>
      </c>
    </row>
    <row r="26" spans="1:5" x14ac:dyDescent="0.25">
      <c r="A26" s="12"/>
      <c r="B26" s="30">
        <f t="shared" si="0"/>
        <v>0</v>
      </c>
      <c r="C26" s="19" t="str">
        <f>IF('Counter Strike 2'!AR26 &lt;&gt; "", 'Counter Strike 2'!AR26, "0")</f>
        <v>0</v>
      </c>
      <c r="D26" s="39" t="str">
        <f>IF('Teamfight tactics'!CD26 &lt;&gt; "", 'Teamfight tactics'!CD26, "0")</f>
        <v>0</v>
      </c>
      <c r="E26" s="40" t="str">
        <f>IF(Prophunt!AR26 &lt;&gt; "", Prophunt!AR26, "0")</f>
        <v>0</v>
      </c>
    </row>
    <row r="27" spans="1:5" x14ac:dyDescent="0.25">
      <c r="A27" s="12"/>
      <c r="B27" s="30">
        <f t="shared" si="0"/>
        <v>0</v>
      </c>
      <c r="C27" s="19" t="str">
        <f>IF('Counter Strike 2'!AR27 &lt;&gt; "", 'Counter Strike 2'!AR27, "0")</f>
        <v>0</v>
      </c>
      <c r="D27" s="39" t="str">
        <f>IF('Teamfight tactics'!CD27 &lt;&gt; "", 'Teamfight tactics'!CD27, "0")</f>
        <v>0</v>
      </c>
      <c r="E27" s="40" t="str">
        <f>IF(Prophunt!AR27 &lt;&gt; "", Prophunt!AR27, "0")</f>
        <v>0</v>
      </c>
    </row>
    <row r="28" spans="1:5" x14ac:dyDescent="0.25">
      <c r="A28" s="12"/>
      <c r="B28" s="30">
        <f t="shared" si="0"/>
        <v>0</v>
      </c>
      <c r="C28" s="19" t="str">
        <f>IF('Counter Strike 2'!AR28 &lt;&gt; "", 'Counter Strike 2'!AR28, "0")</f>
        <v>0</v>
      </c>
      <c r="D28" s="39" t="str">
        <f>IF('Teamfight tactics'!CD28 &lt;&gt; "", 'Teamfight tactics'!CD28, "0")</f>
        <v>0</v>
      </c>
      <c r="E28" s="40" t="str">
        <f>IF(Prophunt!AR28 &lt;&gt; "", Prophunt!AR28, "0")</f>
        <v>0</v>
      </c>
    </row>
    <row r="29" spans="1:5" x14ac:dyDescent="0.25">
      <c r="A29" s="12"/>
      <c r="B29" s="30">
        <f t="shared" si="0"/>
        <v>0</v>
      </c>
      <c r="C29" s="19" t="str">
        <f>IF('Counter Strike 2'!AR29 &lt;&gt; "", 'Counter Strike 2'!AR29, "0")</f>
        <v>0</v>
      </c>
      <c r="D29" s="39" t="str">
        <f>IF('Teamfight tactics'!CD29 &lt;&gt; "", 'Teamfight tactics'!CD29, "0")</f>
        <v>0</v>
      </c>
      <c r="E29" s="40" t="str">
        <f>IF(Prophunt!AR29 &lt;&gt; "", Prophunt!AR29, "0")</f>
        <v>0</v>
      </c>
    </row>
    <row r="30" spans="1:5" x14ac:dyDescent="0.25">
      <c r="A30" s="12"/>
      <c r="B30" s="30">
        <f t="shared" si="0"/>
        <v>0</v>
      </c>
      <c r="C30" s="19" t="str">
        <f>IF('Counter Strike 2'!AR30 &lt;&gt; "", 'Counter Strike 2'!AR30, "0")</f>
        <v>0</v>
      </c>
      <c r="D30" s="39" t="str">
        <f>IF('Teamfight tactics'!CD30 &lt;&gt; "", 'Teamfight tactics'!CD30, "0")</f>
        <v>0</v>
      </c>
      <c r="E30" s="40" t="str">
        <f>IF(Prophunt!AR30 &lt;&gt; "", Prophunt!AR30, "0")</f>
        <v>0</v>
      </c>
    </row>
    <row r="31" spans="1:5" x14ac:dyDescent="0.25">
      <c r="A31" s="18"/>
      <c r="B31" s="30">
        <f t="shared" si="0"/>
        <v>0</v>
      </c>
      <c r="C31" s="19" t="str">
        <f>IF('Counter Strike 2'!AR31 &lt;&gt; "", 'Counter Strike 2'!AR31, "0")</f>
        <v>0</v>
      </c>
      <c r="D31" s="39" t="str">
        <f>IF('Teamfight tactics'!CD31 &lt;&gt; "", 'Teamfight tactics'!CD31, "0")</f>
        <v>0</v>
      </c>
      <c r="E31" s="40" t="str">
        <f>IF(Prophunt!AR31 &lt;&gt; "", Prophunt!AR31, "0")</f>
        <v>0</v>
      </c>
    </row>
    <row r="32" spans="1:5" x14ac:dyDescent="0.25">
      <c r="A32" s="12"/>
      <c r="B32" s="30">
        <f t="shared" si="0"/>
        <v>0</v>
      </c>
      <c r="C32" s="19" t="str">
        <f>IF('Counter Strike 2'!AR32 &lt;&gt; "", 'Counter Strike 2'!AR32, "0")</f>
        <v>0</v>
      </c>
      <c r="D32" s="39" t="str">
        <f>IF('Teamfight tactics'!CD32 &lt;&gt; "", 'Teamfight tactics'!CD32, "0")</f>
        <v>0</v>
      </c>
      <c r="E32" s="40" t="str">
        <f>IF(Prophunt!AR32 &lt;&gt; "", Prophunt!AR32, "0")</f>
        <v>0</v>
      </c>
    </row>
    <row r="33" spans="1:5" x14ac:dyDescent="0.25">
      <c r="A33" s="18"/>
      <c r="B33" s="30">
        <f t="shared" si="0"/>
        <v>0</v>
      </c>
      <c r="C33" s="19" t="str">
        <f>IF('Counter Strike 2'!AR33 &lt;&gt; "", 'Counter Strike 2'!AR33, "0")</f>
        <v>0</v>
      </c>
      <c r="D33" s="39" t="str">
        <f>IF('Teamfight tactics'!CD33 &lt;&gt; "", 'Teamfight tactics'!CD33, "0")</f>
        <v>0</v>
      </c>
      <c r="E33" s="40" t="str">
        <f>IF(Prophunt!AR33 &lt;&gt; "", Prophunt!AR33, "0")</f>
        <v>0</v>
      </c>
    </row>
    <row r="39" spans="1:5" x14ac:dyDescent="0.25">
      <c r="B39" t="s">
        <v>32</v>
      </c>
      <c r="C39" t="s">
        <v>32</v>
      </c>
      <c r="D39" t="s">
        <v>32</v>
      </c>
      <c r="E39" t="s">
        <v>32</v>
      </c>
    </row>
    <row r="40" spans="1:5" x14ac:dyDescent="0.25">
      <c r="B40" s="56" t="str">
        <f>IF(IFERROR(INDEX(A2:A33,  MATCH(MAX(B2:B33), B2:B33, 0)), "") &gt;0, IFERROR(INDEX(A2:A33,  MATCH(MAX(B2:B33), B2:B33, 0)), ""), "")</f>
        <v/>
      </c>
      <c r="C40" s="56" t="str">
        <f>IF(IFERROR(INDEX(A2:A33, MATCH(MAX(C2:C33), C2:C33, 0)), "") &gt; 0, IFERROR(INDEX(A2:A33, MATCH(MAX(C2:C33), C2:C33, 0)), ""), "")</f>
        <v/>
      </c>
      <c r="D40" s="56" t="str">
        <f>IF(IFERROR(INDEX(A2:A33, MATCH(MAX(D2:D33), D2:D33, 0)), "") &gt;0, IFERROR(INDEX(A2:A33, MATCH(MAX(D2:D33), D2:D33, 0)), ""), "")</f>
        <v/>
      </c>
      <c r="E40" s="56" t="str">
        <f>IF(IFERROR(INDEX(A2:A33, MATCH(MAX(E2:E33), E2:E33, 0)), "") &gt;0, IFERROR(INDEX(A2:A33, MATCH(MAX(E2:E33), E2:E33, 0)), ""), "")</f>
        <v/>
      </c>
    </row>
    <row r="42" spans="1:5" x14ac:dyDescent="0.25">
      <c r="B42" t="s">
        <v>33</v>
      </c>
      <c r="C42" t="s">
        <v>33</v>
      </c>
      <c r="D42" t="s">
        <v>33</v>
      </c>
      <c r="E42" t="s">
        <v>33</v>
      </c>
    </row>
    <row r="43" spans="1:5" x14ac:dyDescent="0.25">
      <c r="B43" s="57" t="str">
        <f>IF(IFERROR(INDEX(A2:A33, MATCH(LARGE(B2:B33, 2), B2:B33, 0)), "") &gt;0, IFERROR(INDEX(A2:A33, MATCH(LARGE(B2:B33, 2), B2:B33, 0)), ""), "")</f>
        <v/>
      </c>
      <c r="C43" s="57" t="str">
        <f>IF(IFERROR(INDEX(A2:A33, MATCH(LARGE(C2:C33, 2), C2:C33, 0)), "") &gt;0, IFERROR(INDEX(A2:A33, MATCH(LARGE(C2:C33, 2), C2:C33, 0)), ""), "")</f>
        <v/>
      </c>
      <c r="D43" s="57" t="str">
        <f>IF(IFERROR(INDEX(A2:A33, MATCH(LARGE(D2:D33, 2), D2:D33, 0)), "") &gt;0, IFERROR(INDEX(A2:A33, MATCH(LARGE(D2:D33, 2), D2:D33, 0)), ""), "")</f>
        <v/>
      </c>
      <c r="E43" s="57" t="str">
        <f>IF(IFERROR(INDEX(A2:A33, MATCH(LARGE(E2:E33, 2), E2:E33, 0)), "") &gt;0, IFERROR(INDEX(A2:A33, MATCH(LARGE(E2:E33, 2), E2:E33, 0)), ""), "")</f>
        <v/>
      </c>
    </row>
    <row r="45" spans="1:5" x14ac:dyDescent="0.25">
      <c r="B45" t="s">
        <v>35</v>
      </c>
      <c r="C45" t="s">
        <v>35</v>
      </c>
      <c r="D45" t="s">
        <v>35</v>
      </c>
      <c r="E45" t="s">
        <v>35</v>
      </c>
    </row>
    <row r="46" spans="1:5" x14ac:dyDescent="0.25">
      <c r="B46" s="58" t="str">
        <f>IF(IFERROR(INDEX(A2:A33, MATCH(LARGE(B2:B33, 3), B2:B33, 0)), "") &gt; 0, IFERROR(INDEX(A2:A33, MATCH(LARGE(B2:B33, 3), B2:B33, 0)), ""), "")</f>
        <v/>
      </c>
      <c r="C46" s="58" t="str">
        <f>IF(IFERROR(INDEX(A2:A33, MATCH(LARGE(C2:C33, 3), C2:C33, 0)), "") &gt;0, IFERROR(INDEX(A2:A33, MATCH(LARGE(C2:C33, 3), C2:C33, 0)), ""), "")</f>
        <v/>
      </c>
      <c r="D46" s="58" t="str">
        <f>IF(IFERROR(INDEX(A2:A33, MATCH(LARGE(D2:D33, 3), D2:D33, 0)), "") &gt;0, IFERROR(INDEX(A2:A33, MATCH(LARGE(D2:D33, 3), D2:D33, 0)), ""), "")</f>
        <v/>
      </c>
      <c r="E46" s="58" t="str">
        <f>IF(IFERROR(INDEX(A2:A33, MATCH(LARGE(E2:E33, 3), E2:E33, 0)), "") &gt;0, IFERROR(INDEX(A2:A33, MATCH(LARGE(E2:E33, 3), E2:E33, 0)), ""), "")</f>
        <v/>
      </c>
    </row>
    <row r="48" spans="1:5" x14ac:dyDescent="0.25">
      <c r="B48" t="s">
        <v>36</v>
      </c>
      <c r="C48" t="s">
        <v>36</v>
      </c>
      <c r="D48" t="s">
        <v>36</v>
      </c>
      <c r="E48" t="s">
        <v>36</v>
      </c>
    </row>
    <row r="49" spans="2:5" x14ac:dyDescent="0.25">
      <c r="B49" s="59" t="str">
        <f>IF(IFERROR(INDEX(A2:A33, MATCH(LARGE(B2:B33, COUNTIF(B2:B33, "&gt;0")), B2:B33, 0)), "") &gt; 0, IFERROR(INDEX(A2:A33, MATCH(LARGE(B2:B33, COUNTIF(B2:B33, "&gt;0")), B2:B33, 0)), ""), "")</f>
        <v/>
      </c>
      <c r="C49" s="59" t="str">
        <f>IF(IFERROR(INDEX(A2:A33, MATCH(LARGE(C2:C33, COUNTIF(Tableau2[Counter Strike 2], "&gt;0")), C2:C33, 0)), "") &gt;0, IFERROR(INDEX(A2:A33, MATCH(LARGE(C2:C33, COUNTIF(Tableau2[Counter Strike 2], "&gt;0")), C2:C33, 0)), ""), "")</f>
        <v/>
      </c>
      <c r="D49" s="59" t="str">
        <f>IF(IFERROR(INDEX(A2:A33, MATCH(LARGE(D2:D33, COUNTIF(Tableau2[Teamfight Tactics], "&gt;0")), D2:D33, 0)), "") &gt;0, IFERROR(INDEX(A2:A33, MATCH(LARGE(D2:D33, COUNTIF(Tableau2[Teamfight Tactics], "&gt;0")), D2:D33, 0)), ""), "")</f>
        <v/>
      </c>
      <c r="E49" s="59" t="str">
        <f>IF(IFERROR(INDEX(A2:A33, MATCH(LARGE(E2:E33, COUNTIF(Tableau2[Prophunter], "&gt;0")), E2:E33, 0)), "") &gt;0, IFERROR(INDEX(A2:A33, MATCH(LARGE(E2:E33, COUNTIF(Tableau2[Teamfight Tactics], "&gt;0")), E2:E33, 0)), ""), "")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RazProphunter">
          <controlPr defaultSize="0" autoLine="0" autoPict="0" r:id="rId5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2053" r:id="rId4" name="RazProphunter"/>
      </mc:Fallback>
    </mc:AlternateContent>
    <mc:AlternateContent xmlns:mc="http://schemas.openxmlformats.org/markup-compatibility/2006">
      <mc:Choice Requires="x14">
        <control shapeId="2052" r:id="rId6" name="RazTFT">
          <controlPr defaultSize="0" autoLine="0" autoPict="0" r:id="rId7">
            <anchor moveWithCells="1">
              <from>
                <xdr:col>3</xdr:col>
                <xdr:colOff>0</xdr:colOff>
                <xdr:row>33</xdr:row>
                <xdr:rowOff>0</xdr:rowOff>
              </from>
              <to>
                <xdr:col>4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2052" r:id="rId6" name="RazTFT"/>
      </mc:Fallback>
    </mc:AlternateContent>
    <mc:AlternateContent xmlns:mc="http://schemas.openxmlformats.org/markup-compatibility/2006">
      <mc:Choice Requires="x14">
        <control shapeId="2051" r:id="rId8" name="RazCS2">
          <controlPr defaultSize="0" autoLine="0" autoPict="0" r:id="rId9">
            <anchor moveWithCells="1">
              <from>
                <xdr:col>2</xdr:col>
                <xdr:colOff>0</xdr:colOff>
                <xdr:row>33</xdr:row>
                <xdr:rowOff>9525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2051" r:id="rId8" name="RazCS2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1</xdr:col>
                <xdr:colOff>9525</xdr:colOff>
                <xdr:row>33</xdr:row>
                <xdr:rowOff>0</xdr:rowOff>
              </from>
              <to>
                <xdr:col>2</xdr:col>
                <xdr:colOff>38100</xdr:colOff>
                <xdr:row>34</xdr:row>
                <xdr:rowOff>171450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0</xdr:col>
                <xdr:colOff>9525</xdr:colOff>
                <xdr:row>33</xdr:row>
                <xdr:rowOff>9525</xdr:rowOff>
              </from>
              <to>
                <xdr:col>1</xdr:col>
                <xdr:colOff>47625</xdr:colOff>
                <xdr:row>34</xdr:row>
                <xdr:rowOff>180975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54" r:id="rId14" name="CommandButton6">
          <controlPr defaultSize="0" autoLine="0" r:id="rId15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1</xdr:col>
                <xdr:colOff>47625</xdr:colOff>
                <xdr:row>36</xdr:row>
                <xdr:rowOff>171450</xdr:rowOff>
              </to>
            </anchor>
          </controlPr>
        </control>
      </mc:Choice>
      <mc:Fallback>
        <control shapeId="2054" r:id="rId14" name="CommandButton6"/>
      </mc:Fallback>
    </mc:AlternateContent>
    <mc:AlternateContent xmlns:mc="http://schemas.openxmlformats.org/markup-compatibility/2006">
      <mc:Choice Requires="x14">
        <control shapeId="2059" r:id="rId16" name="CheckBox1">
          <controlPr defaultSize="0" autoLine="0" r:id="rId17">
            <anchor moveWithCells="1">
              <from>
                <xdr:col>0</xdr:col>
                <xdr:colOff>9525</xdr:colOff>
                <xdr:row>37</xdr:row>
                <xdr:rowOff>9525</xdr:rowOff>
              </from>
              <to>
                <xdr:col>1</xdr:col>
                <xdr:colOff>28575</xdr:colOff>
                <xdr:row>38</xdr:row>
                <xdr:rowOff>28575</xdr:rowOff>
              </to>
            </anchor>
          </controlPr>
        </control>
      </mc:Choice>
      <mc:Fallback>
        <control shapeId="2059" r:id="rId16" name="CheckBox1"/>
      </mc:Fallback>
    </mc:AlternateContent>
    <mc:AlternateContent xmlns:mc="http://schemas.openxmlformats.org/markup-compatibility/2006">
      <mc:Choice Requires="x14">
        <control shapeId="2060" r:id="rId18" name="CheckBox2">
          <controlPr defaultSize="0" autoLine="0" r:id="rId19">
            <anchor moveWithCells="1">
              <from>
                <xdr:col>0</xdr:col>
                <xdr:colOff>9525</xdr:colOff>
                <xdr:row>38</xdr:row>
                <xdr:rowOff>0</xdr:rowOff>
              </from>
              <to>
                <xdr:col>1</xdr:col>
                <xdr:colOff>19050</xdr:colOff>
                <xdr:row>39</xdr:row>
                <xdr:rowOff>19050</xdr:rowOff>
              </to>
            </anchor>
          </controlPr>
        </control>
      </mc:Choice>
      <mc:Fallback>
        <control shapeId="2060" r:id="rId18" name="CheckBox2"/>
      </mc:Fallback>
    </mc:AlternateContent>
    <mc:AlternateContent xmlns:mc="http://schemas.openxmlformats.org/markup-compatibility/2006">
      <mc:Choice Requires="x14">
        <control shapeId="2061" r:id="rId20" name="CheckBox3">
          <controlPr defaultSize="0" autoLine="0" r:id="rId21">
            <anchor moveWithCells="1">
              <from>
                <xdr:col>0</xdr:col>
                <xdr:colOff>9525</xdr:colOff>
                <xdr:row>38</xdr:row>
                <xdr:rowOff>171450</xdr:rowOff>
              </from>
              <to>
                <xdr:col>1</xdr:col>
                <xdr:colOff>38100</xdr:colOff>
                <xdr:row>39</xdr:row>
                <xdr:rowOff>180975</xdr:rowOff>
              </to>
            </anchor>
          </controlPr>
        </control>
      </mc:Choice>
      <mc:Fallback>
        <control shapeId="2061" r:id="rId20" name="CheckBox3"/>
      </mc:Fallback>
    </mc:AlternateContent>
  </controls>
  <tableParts count="1"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323A-6EBB-4F47-BA51-4298C66E7357}">
  <sheetPr codeName="Feuil5"/>
  <dimension ref="A1:H37"/>
  <sheetViews>
    <sheetView workbookViewId="0">
      <pane ySplit="1" topLeftCell="A8" activePane="bottomLeft" state="frozen"/>
      <selection pane="bottomLeft" activeCell="I6" sqref="I6"/>
    </sheetView>
  </sheetViews>
  <sheetFormatPr baseColWidth="10" defaultRowHeight="15" x14ac:dyDescent="0.25"/>
  <cols>
    <col min="1" max="6" width="20.7109375" customWidth="1"/>
    <col min="9" max="9" width="25" customWidth="1"/>
  </cols>
  <sheetData>
    <row r="1" spans="1:8" x14ac:dyDescent="0.25">
      <c r="A1" t="s">
        <v>1</v>
      </c>
      <c r="B1">
        <f>I2</f>
        <v>0</v>
      </c>
      <c r="C1">
        <f>I3</f>
        <v>0</v>
      </c>
      <c r="D1">
        <f>I4</f>
        <v>0</v>
      </c>
      <c r="E1">
        <f>I5</f>
        <v>0</v>
      </c>
      <c r="F1">
        <f>I6</f>
        <v>0</v>
      </c>
    </row>
    <row r="2" spans="1:8" x14ac:dyDescent="0.25">
      <c r="A2" t="s">
        <v>80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  <c r="H2" t="s">
        <v>76</v>
      </c>
    </row>
    <row r="3" spans="1:8" x14ac:dyDescent="0.25">
      <c r="A3" t="str">
        <f>IF('Score joueurs'!A2 &lt;&gt; "", 'Score joueurs'!A2, "")</f>
        <v/>
      </c>
      <c r="H3" t="s">
        <v>77</v>
      </c>
    </row>
    <row r="4" spans="1:8" x14ac:dyDescent="0.25">
      <c r="A4" t="str">
        <f>IF('Score joueurs'!A3 &lt;&gt; "", 'Score joueurs'!A3, "")</f>
        <v/>
      </c>
      <c r="H4" t="s">
        <v>78</v>
      </c>
    </row>
    <row r="5" spans="1:8" x14ac:dyDescent="0.25">
      <c r="A5" t="str">
        <f>IF('Score joueurs'!A4 &lt;&gt; "", 'Score joueurs'!A4, "")</f>
        <v/>
      </c>
      <c r="H5" t="s">
        <v>79</v>
      </c>
    </row>
    <row r="6" spans="1:8" x14ac:dyDescent="0.25">
      <c r="A6" t="str">
        <f>IF('Score joueurs'!A5 &lt;&gt; "", 'Score joueurs'!A5, "")</f>
        <v/>
      </c>
      <c r="H6" t="s">
        <v>81</v>
      </c>
    </row>
    <row r="7" spans="1:8" x14ac:dyDescent="0.25">
      <c r="A7" t="str">
        <f>IF('Score joueurs'!A6 &lt;&gt; "", 'Score joueurs'!A6, "")</f>
        <v/>
      </c>
    </row>
    <row r="8" spans="1:8" x14ac:dyDescent="0.25">
      <c r="A8" t="str">
        <f>IF('Score joueurs'!A7 &lt;&gt; "", 'Score joueurs'!A7, "")</f>
        <v/>
      </c>
    </row>
    <row r="9" spans="1:8" x14ac:dyDescent="0.25">
      <c r="A9" t="str">
        <f>IF('Score joueurs'!A8 &lt;&gt; "", 'Score joueurs'!A8, "")</f>
        <v/>
      </c>
    </row>
    <row r="10" spans="1:8" x14ac:dyDescent="0.25">
      <c r="A10" t="str">
        <f>IF('Score joueurs'!A9 &lt;&gt; "", 'Score joueurs'!A9, "")</f>
        <v/>
      </c>
    </row>
    <row r="11" spans="1:8" x14ac:dyDescent="0.25">
      <c r="A11" t="str">
        <f>IF('Score joueurs'!A10 &lt;&gt; "", 'Score joueurs'!A10, "")</f>
        <v/>
      </c>
    </row>
    <row r="12" spans="1:8" x14ac:dyDescent="0.25">
      <c r="A12" t="str">
        <f>IF('Score joueurs'!A11 &lt;&gt; "", 'Score joueurs'!A11, "")</f>
        <v/>
      </c>
    </row>
    <row r="13" spans="1:8" x14ac:dyDescent="0.25">
      <c r="A13" t="str">
        <f>IF('Score joueurs'!A12 &lt;&gt; "", 'Score joueurs'!A12, "")</f>
        <v/>
      </c>
    </row>
    <row r="14" spans="1:8" x14ac:dyDescent="0.25">
      <c r="A14" t="str">
        <f>IF('Score joueurs'!A13 &lt;&gt; "", 'Score joueurs'!A13, "")</f>
        <v/>
      </c>
    </row>
    <row r="15" spans="1:8" x14ac:dyDescent="0.25">
      <c r="A15" t="str">
        <f>IF('Score joueurs'!A14 &lt;&gt; "", 'Score joueurs'!A14, "")</f>
        <v/>
      </c>
    </row>
    <row r="16" spans="1:8" x14ac:dyDescent="0.25">
      <c r="A16" t="str">
        <f>IF('Score joueurs'!A15 &lt;&gt; "", 'Score joueurs'!A15, "")</f>
        <v/>
      </c>
    </row>
    <row r="17" spans="1:1" x14ac:dyDescent="0.25">
      <c r="A17" t="str">
        <f>IF('Score joueurs'!A16 &lt;&gt; "", 'Score joueurs'!A16, "")</f>
        <v/>
      </c>
    </row>
    <row r="18" spans="1:1" x14ac:dyDescent="0.25">
      <c r="A18" t="str">
        <f>IF('Score joueurs'!A17 &lt;&gt; "", 'Score joueurs'!A17, "")</f>
        <v/>
      </c>
    </row>
    <row r="19" spans="1:1" x14ac:dyDescent="0.25">
      <c r="A19" t="str">
        <f>IF('Score joueurs'!A18 &lt;&gt; "", 'Score joueurs'!A18, "")</f>
        <v/>
      </c>
    </row>
    <row r="20" spans="1:1" x14ac:dyDescent="0.25">
      <c r="A20" t="str">
        <f>IF('Score joueurs'!A19 &lt;&gt; "", 'Score joueurs'!A19, "")</f>
        <v/>
      </c>
    </row>
    <row r="21" spans="1:1" x14ac:dyDescent="0.25">
      <c r="A21" t="str">
        <f>IF('Score joueurs'!A20 &lt;&gt; "", 'Score joueurs'!A20, "")</f>
        <v/>
      </c>
    </row>
    <row r="22" spans="1:1" x14ac:dyDescent="0.25">
      <c r="A22" t="str">
        <f>IF('Score joueurs'!A21 &lt;&gt; "", 'Score joueurs'!A21, "")</f>
        <v/>
      </c>
    </row>
    <row r="23" spans="1:1" x14ac:dyDescent="0.25">
      <c r="A23" t="str">
        <f>IF('Score joueurs'!A22 &lt;&gt; "", 'Score joueurs'!A22, "")</f>
        <v/>
      </c>
    </row>
    <row r="24" spans="1:1" x14ac:dyDescent="0.25">
      <c r="A24" t="str">
        <f>IF('Score joueurs'!A23 &lt;&gt; "", 'Score joueurs'!A23, "")</f>
        <v/>
      </c>
    </row>
    <row r="25" spans="1:1" x14ac:dyDescent="0.25">
      <c r="A25" t="str">
        <f>IF('Score joueurs'!A24 &lt;&gt; "", 'Score joueurs'!A24, "")</f>
        <v/>
      </c>
    </row>
    <row r="26" spans="1:1" x14ac:dyDescent="0.25">
      <c r="A26" t="str">
        <f>IF('Score joueurs'!A25 &lt;&gt; "", 'Score joueurs'!A25, "")</f>
        <v/>
      </c>
    </row>
    <row r="27" spans="1:1" x14ac:dyDescent="0.25">
      <c r="A27" t="str">
        <f>IF('Score joueurs'!A26 &lt;&gt; "", 'Score joueurs'!A26, "")</f>
        <v/>
      </c>
    </row>
    <row r="28" spans="1:1" x14ac:dyDescent="0.25">
      <c r="A28" t="str">
        <f>IF('Score joueurs'!A27 &lt;&gt; "", 'Score joueurs'!A27, "")</f>
        <v/>
      </c>
    </row>
    <row r="29" spans="1:1" x14ac:dyDescent="0.25">
      <c r="A29" t="str">
        <f>IF('Score joueurs'!A28 &lt;&gt; "", 'Score joueurs'!A28, "")</f>
        <v/>
      </c>
    </row>
    <row r="30" spans="1:1" x14ac:dyDescent="0.25">
      <c r="A30" t="str">
        <f>IF('Score joueurs'!A29 &lt;&gt; "", 'Score joueurs'!A29, "")</f>
        <v/>
      </c>
    </row>
    <row r="31" spans="1:1" x14ac:dyDescent="0.25">
      <c r="A31" t="str">
        <f>IF('Score joueurs'!A30 &lt;&gt; "", 'Score joueurs'!A30, "")</f>
        <v/>
      </c>
    </row>
    <row r="32" spans="1:1" x14ac:dyDescent="0.25">
      <c r="A32" t="str">
        <f>IF('Score joueurs'!A31 &lt;&gt; "", 'Score joueurs'!A31, "")</f>
        <v/>
      </c>
    </row>
    <row r="33" spans="1:6" x14ac:dyDescent="0.25">
      <c r="A33" t="str">
        <f>IF('Score joueurs'!A32 &lt;&gt; "", 'Score joueurs'!A32, "")</f>
        <v/>
      </c>
    </row>
    <row r="34" spans="1:6" x14ac:dyDescent="0.25">
      <c r="A34" t="str">
        <f>IF('Score joueurs'!A33 &lt;&gt; "", 'Score joueurs'!A33, "")</f>
        <v/>
      </c>
    </row>
    <row r="35" spans="1:6" x14ac:dyDescent="0.25">
      <c r="B35" t="s">
        <v>82</v>
      </c>
      <c r="C35" t="s">
        <v>82</v>
      </c>
      <c r="D35" t="s">
        <v>82</v>
      </c>
      <c r="E35" t="s">
        <v>82</v>
      </c>
      <c r="F35" t="s">
        <v>82</v>
      </c>
    </row>
    <row r="36" spans="1:6" x14ac:dyDescent="0.25">
      <c r="B36">
        <f>B1</f>
        <v>0</v>
      </c>
      <c r="C36">
        <f t="shared" ref="C36:F36" si="0">C1</f>
        <v>0</v>
      </c>
      <c r="D36">
        <f t="shared" si="0"/>
        <v>0</v>
      </c>
      <c r="E36">
        <f t="shared" si="0"/>
        <v>0</v>
      </c>
      <c r="F36">
        <f t="shared" si="0"/>
        <v>0</v>
      </c>
    </row>
    <row r="37" spans="1:6" x14ac:dyDescent="0.25">
      <c r="B37">
        <f>SUM(Tableau1[Qte Repas 1])</f>
        <v>0</v>
      </c>
      <c r="C37">
        <f>SUM(Tableau1[Qte Repas 2])</f>
        <v>0</v>
      </c>
      <c r="D37">
        <f>SUM(Tableau1[Qte Repas 3])</f>
        <v>0</v>
      </c>
      <c r="E37">
        <f>SUM(Tableau1[Qte Repas 4])</f>
        <v>0</v>
      </c>
      <c r="F37">
        <f>SUM(Tableau1[Qte Repas 5])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9525</xdr:colOff>
                <xdr:row>34</xdr:row>
                <xdr:rowOff>0</xdr:rowOff>
              </from>
              <to>
                <xdr:col>1</xdr:col>
                <xdr:colOff>0</xdr:colOff>
                <xdr:row>36</xdr:row>
                <xdr:rowOff>9525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C7254-6BA9-43D7-AA7D-B5E28CC72F62}">
  <sheetPr codeName="Feuil2">
    <tabColor theme="4" tint="0.59999389629810485"/>
  </sheetPr>
  <dimension ref="A1:AR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R2" sqref="AR2"/>
    </sheetView>
  </sheetViews>
  <sheetFormatPr baseColWidth="10" defaultColWidth="8.85546875" defaultRowHeight="15" x14ac:dyDescent="0.25"/>
  <cols>
    <col min="1" max="1" width="17.7109375" customWidth="1"/>
    <col min="2" max="41" width="4.7109375" customWidth="1"/>
    <col min="43" max="43" width="9.28515625" bestFit="1" customWidth="1"/>
  </cols>
  <sheetData>
    <row r="1" spans="1:44" ht="15.75" thickBot="1" x14ac:dyDescent="0.3">
      <c r="A1" s="21" t="s">
        <v>0</v>
      </c>
      <c r="B1" s="13" t="s">
        <v>37</v>
      </c>
      <c r="C1" s="24" t="s">
        <v>38</v>
      </c>
      <c r="D1" s="13" t="s">
        <v>37</v>
      </c>
      <c r="E1" s="24" t="s">
        <v>38</v>
      </c>
      <c r="F1" s="13" t="s">
        <v>37</v>
      </c>
      <c r="G1" s="24" t="s">
        <v>38</v>
      </c>
      <c r="H1" s="13" t="s">
        <v>37</v>
      </c>
      <c r="I1" s="24" t="s">
        <v>38</v>
      </c>
      <c r="J1" s="13" t="s">
        <v>37</v>
      </c>
      <c r="K1" s="24" t="s">
        <v>38</v>
      </c>
      <c r="L1" s="13" t="s">
        <v>37</v>
      </c>
      <c r="M1" s="24" t="s">
        <v>38</v>
      </c>
      <c r="N1" s="13" t="s">
        <v>37</v>
      </c>
      <c r="O1" s="24" t="s">
        <v>38</v>
      </c>
      <c r="P1" s="13" t="s">
        <v>37</v>
      </c>
      <c r="Q1" s="24" t="s">
        <v>38</v>
      </c>
      <c r="R1" s="13" t="s">
        <v>37</v>
      </c>
      <c r="S1" s="24" t="s">
        <v>38</v>
      </c>
      <c r="T1" s="13" t="s">
        <v>37</v>
      </c>
      <c r="U1" s="24" t="s">
        <v>38</v>
      </c>
      <c r="V1" s="13" t="s">
        <v>37</v>
      </c>
      <c r="W1" s="24" t="s">
        <v>38</v>
      </c>
      <c r="X1" s="13" t="s">
        <v>37</v>
      </c>
      <c r="Y1" s="24" t="s">
        <v>38</v>
      </c>
      <c r="Z1" s="13" t="s">
        <v>37</v>
      </c>
      <c r="AA1" s="24" t="s">
        <v>38</v>
      </c>
      <c r="AB1" s="13" t="s">
        <v>37</v>
      </c>
      <c r="AC1" s="24" t="s">
        <v>38</v>
      </c>
      <c r="AD1" s="13" t="s">
        <v>37</v>
      </c>
      <c r="AE1" s="24" t="s">
        <v>38</v>
      </c>
      <c r="AF1" s="13" t="s">
        <v>37</v>
      </c>
      <c r="AG1" s="24" t="s">
        <v>38</v>
      </c>
      <c r="AH1" s="13" t="s">
        <v>37</v>
      </c>
      <c r="AI1" s="24" t="s">
        <v>38</v>
      </c>
      <c r="AJ1" s="13" t="s">
        <v>37</v>
      </c>
      <c r="AK1" s="24" t="s">
        <v>38</v>
      </c>
      <c r="AL1" s="13" t="s">
        <v>37</v>
      </c>
      <c r="AM1" s="24" t="s">
        <v>38</v>
      </c>
      <c r="AN1" s="13" t="s">
        <v>37</v>
      </c>
      <c r="AO1" s="24" t="s">
        <v>38</v>
      </c>
      <c r="AP1" s="9" t="s">
        <v>26</v>
      </c>
      <c r="AQ1" s="32" t="s">
        <v>27</v>
      </c>
      <c r="AR1" s="9" t="s">
        <v>34</v>
      </c>
    </row>
    <row r="2" spans="1:44" x14ac:dyDescent="0.25">
      <c r="A2" s="22" t="str">
        <f>IF('Score joueurs'!A2="","", 'Score joueurs'!A2)</f>
        <v/>
      </c>
      <c r="B2" s="25"/>
      <c r="C2" s="26"/>
      <c r="D2" s="25"/>
      <c r="E2" s="26"/>
      <c r="F2" s="25"/>
      <c r="G2" s="29"/>
      <c r="H2" s="25"/>
      <c r="I2" s="26"/>
      <c r="J2" s="25"/>
      <c r="K2" s="26"/>
      <c r="L2" s="25"/>
      <c r="M2" s="26"/>
      <c r="N2" s="25"/>
      <c r="O2" s="26"/>
      <c r="P2" s="25"/>
      <c r="Q2" s="29"/>
      <c r="R2" s="25"/>
      <c r="S2" s="26"/>
      <c r="T2" s="25"/>
      <c r="U2" s="26"/>
      <c r="V2" s="25"/>
      <c r="W2" s="26"/>
      <c r="X2" s="25"/>
      <c r="Y2" s="26"/>
      <c r="Z2" s="25"/>
      <c r="AA2" s="26"/>
      <c r="AB2" s="25"/>
      <c r="AC2" s="26"/>
      <c r="AD2" s="25"/>
      <c r="AE2" s="26"/>
      <c r="AF2" s="25"/>
      <c r="AG2" s="26"/>
      <c r="AH2" s="25"/>
      <c r="AI2" s="26"/>
      <c r="AJ2" s="25"/>
      <c r="AK2" s="26"/>
      <c r="AL2" s="25"/>
      <c r="AM2" s="26"/>
      <c r="AN2" s="25"/>
      <c r="AO2" s="26"/>
      <c r="AP2" s="11" t="str">
        <f>IF(B2&gt;0, B2-C2+D2-E2+F2-G2+H2-I2+J2-K2+L2-M2+N2-O2+P2-Q2+R2-S2+T2-U2+V2-W2+X2-Y2+Z2-AA2+AB2-AC2+AD2-AE2+AF2-AG2+AH2-AI2+AJ2-AK2+AL2-AM2+AN2-AO2, "")</f>
        <v/>
      </c>
      <c r="AQ2" s="31" t="str">
        <f>IFERROR(IF(AP2="", "", RANK(AP2,$AP$2:$AP$33)), "")</f>
        <v/>
      </c>
      <c r="AR2" s="35" t="str">
        <f>IF(AQ2 &lt;&gt; "", COUNTIF(AQ2:AQ33, "&gt;0") -AQ2 + 1, "")</f>
        <v/>
      </c>
    </row>
    <row r="3" spans="1:44" x14ac:dyDescent="0.25">
      <c r="A3" s="23" t="str">
        <f>IF('Score joueurs'!A3="","", 'Score joueurs'!A3)</f>
        <v/>
      </c>
      <c r="B3" s="27"/>
      <c r="C3" s="28"/>
      <c r="D3" s="27"/>
      <c r="E3" s="28"/>
      <c r="F3" s="27"/>
      <c r="G3" s="28"/>
      <c r="H3" s="27"/>
      <c r="I3" s="28"/>
      <c r="J3" s="27"/>
      <c r="K3" s="28"/>
      <c r="L3" s="27"/>
      <c r="M3" s="28"/>
      <c r="N3" s="27"/>
      <c r="O3" s="28"/>
      <c r="P3" s="27"/>
      <c r="Q3" s="28"/>
      <c r="R3" s="27"/>
      <c r="S3" s="28"/>
      <c r="T3" s="27"/>
      <c r="U3" s="28"/>
      <c r="V3" s="27"/>
      <c r="W3" s="28"/>
      <c r="X3" s="27"/>
      <c r="Y3" s="28"/>
      <c r="Z3" s="27"/>
      <c r="AA3" s="28"/>
      <c r="AB3" s="27"/>
      <c r="AC3" s="28"/>
      <c r="AD3" s="27"/>
      <c r="AE3" s="28"/>
      <c r="AF3" s="27"/>
      <c r="AG3" s="28"/>
      <c r="AH3" s="27"/>
      <c r="AI3" s="28"/>
      <c r="AJ3" s="27"/>
      <c r="AK3" s="28"/>
      <c r="AL3" s="27"/>
      <c r="AM3" s="28"/>
      <c r="AN3" s="27"/>
      <c r="AO3" s="28"/>
      <c r="AP3" s="11" t="str">
        <f t="shared" ref="AP3:AP31" si="0">IF(B3&gt;0, B3-C3+D3-E3+F3-G3+H3-I3+J3-K3+L3-M3+N3-O3+P3-Q3+R3-S3+T3-U3+V3-W3+X3-Y3+Z3-AA3+AB3-AC3+AD3-AE3+AF3-AG3+AH3-AI3+AJ3-AK3+AL3-AM3+AN3-AO3, "")</f>
        <v/>
      </c>
      <c r="AQ3" s="31" t="str">
        <f>IFERROR(IF(AP3="", "", RANK(AP3,$AP$2:$AP$33)), "")</f>
        <v/>
      </c>
      <c r="AR3" s="35" t="str">
        <f>IF(AQ3 &lt;&gt; "", COUNTIF(AQ2:AQ33, "&gt;0") -AQ3 + 1, "")</f>
        <v/>
      </c>
    </row>
    <row r="4" spans="1:44" x14ac:dyDescent="0.25">
      <c r="A4" s="23" t="str">
        <f>IF('Score joueurs'!A4="","", 'Score joueurs'!A4)</f>
        <v/>
      </c>
      <c r="B4" s="27"/>
      <c r="C4" s="28"/>
      <c r="D4" s="27"/>
      <c r="E4" s="28"/>
      <c r="F4" s="27"/>
      <c r="G4" s="28"/>
      <c r="H4" s="27"/>
      <c r="I4" s="28"/>
      <c r="J4" s="27"/>
      <c r="K4" s="28"/>
      <c r="L4" s="27"/>
      <c r="M4" s="28"/>
      <c r="N4" s="27"/>
      <c r="O4" s="28"/>
      <c r="P4" s="27"/>
      <c r="Q4" s="28"/>
      <c r="R4" s="27"/>
      <c r="S4" s="28"/>
      <c r="T4" s="27"/>
      <c r="U4" s="28"/>
      <c r="V4" s="27"/>
      <c r="W4" s="28"/>
      <c r="X4" s="27"/>
      <c r="Y4" s="28"/>
      <c r="Z4" s="27"/>
      <c r="AA4" s="28"/>
      <c r="AB4" s="27"/>
      <c r="AC4" s="28"/>
      <c r="AD4" s="27"/>
      <c r="AE4" s="28"/>
      <c r="AF4" s="27"/>
      <c r="AG4" s="28"/>
      <c r="AH4" s="27"/>
      <c r="AI4" s="28"/>
      <c r="AJ4" s="27"/>
      <c r="AK4" s="28"/>
      <c r="AL4" s="27"/>
      <c r="AM4" s="28"/>
      <c r="AN4" s="27"/>
      <c r="AO4" s="28"/>
      <c r="AP4" s="11" t="str">
        <f t="shared" si="0"/>
        <v/>
      </c>
      <c r="AQ4" s="31" t="str">
        <f>IFERROR(IF(AP4="", "", RANK(AP4,$AP$2:$AP$33)), "")</f>
        <v/>
      </c>
      <c r="AR4" s="35" t="str">
        <f>IF(AQ4 &lt;&gt; "", COUNTIF(AQ2:AQ33, "&gt;0") -AQ4 +1, "")</f>
        <v/>
      </c>
    </row>
    <row r="5" spans="1:44" x14ac:dyDescent="0.25">
      <c r="A5" s="23" t="str">
        <f>IF('Score joueurs'!A5="","", 'Score joueurs'!A5)</f>
        <v/>
      </c>
      <c r="B5" s="27"/>
      <c r="C5" s="28"/>
      <c r="D5" s="27"/>
      <c r="E5" s="28"/>
      <c r="F5" s="27"/>
      <c r="G5" s="28"/>
      <c r="H5" s="27"/>
      <c r="I5" s="28"/>
      <c r="J5" s="27"/>
      <c r="K5" s="28"/>
      <c r="L5" s="27"/>
      <c r="M5" s="28"/>
      <c r="N5" s="27"/>
      <c r="O5" s="28"/>
      <c r="P5" s="27"/>
      <c r="Q5" s="28"/>
      <c r="R5" s="27"/>
      <c r="S5" s="28"/>
      <c r="T5" s="27"/>
      <c r="U5" s="28"/>
      <c r="V5" s="27"/>
      <c r="W5" s="28"/>
      <c r="X5" s="27"/>
      <c r="Y5" s="28"/>
      <c r="Z5" s="27"/>
      <c r="AA5" s="28"/>
      <c r="AB5" s="27"/>
      <c r="AC5" s="28"/>
      <c r="AD5" s="27"/>
      <c r="AE5" s="28"/>
      <c r="AF5" s="27"/>
      <c r="AG5" s="28"/>
      <c r="AH5" s="27"/>
      <c r="AI5" s="28"/>
      <c r="AJ5" s="27"/>
      <c r="AK5" s="28"/>
      <c r="AL5" s="27"/>
      <c r="AM5" s="28"/>
      <c r="AN5" s="27"/>
      <c r="AO5" s="28"/>
      <c r="AP5" s="11" t="str">
        <f t="shared" si="0"/>
        <v/>
      </c>
      <c r="AQ5" s="31" t="str">
        <f>IFERROR(IF(AP5="", "", RANK(AP5,$AP$2:$AP$33)), "")</f>
        <v/>
      </c>
      <c r="AR5" s="35" t="str">
        <f>IF(AQ5 &lt;&gt; "", COUNTIF(AQ2:AQ33, "&gt;0") -AQ5 +1, "")</f>
        <v/>
      </c>
    </row>
    <row r="6" spans="1:44" x14ac:dyDescent="0.25">
      <c r="A6" s="23" t="str">
        <f>IF('Score joueurs'!A6="","", 'Score joueurs'!A6)</f>
        <v/>
      </c>
      <c r="B6" s="27"/>
      <c r="C6" s="28"/>
      <c r="D6" s="27"/>
      <c r="E6" s="28"/>
      <c r="F6" s="27"/>
      <c r="G6" s="28"/>
      <c r="H6" s="27"/>
      <c r="I6" s="28"/>
      <c r="J6" s="27"/>
      <c r="K6" s="28"/>
      <c r="L6" s="27"/>
      <c r="M6" s="28"/>
      <c r="N6" s="27"/>
      <c r="O6" s="28"/>
      <c r="P6" s="27"/>
      <c r="Q6" s="28"/>
      <c r="R6" s="27"/>
      <c r="S6" s="28"/>
      <c r="T6" s="27"/>
      <c r="U6" s="28"/>
      <c r="V6" s="27"/>
      <c r="W6" s="28"/>
      <c r="X6" s="27"/>
      <c r="Y6" s="28"/>
      <c r="Z6" s="27"/>
      <c r="AA6" s="28"/>
      <c r="AB6" s="27"/>
      <c r="AC6" s="28"/>
      <c r="AD6" s="27"/>
      <c r="AE6" s="28"/>
      <c r="AF6" s="27"/>
      <c r="AG6" s="28"/>
      <c r="AH6" s="27"/>
      <c r="AI6" s="28"/>
      <c r="AJ6" s="27"/>
      <c r="AK6" s="28"/>
      <c r="AL6" s="27"/>
      <c r="AM6" s="28"/>
      <c r="AN6" s="27"/>
      <c r="AO6" s="28"/>
      <c r="AP6" s="11" t="str">
        <f t="shared" si="0"/>
        <v/>
      </c>
      <c r="AQ6" s="31" t="str">
        <f>IFERROR(IF(AP6="", "", RANK(AP6,$AP$2:$AP$33)), "")</f>
        <v/>
      </c>
      <c r="AR6" s="35" t="str">
        <f>IF(AQ6 &lt;&gt; "", COUNTIF(AQ2:AQ33, "&gt;0") -AQ6 +1, "")</f>
        <v/>
      </c>
    </row>
    <row r="7" spans="1:44" x14ac:dyDescent="0.25">
      <c r="A7" s="23" t="str">
        <f>IF('Score joueurs'!A7="","", 'Score joueurs'!A7)</f>
        <v/>
      </c>
      <c r="B7" s="27"/>
      <c r="C7" s="28"/>
      <c r="D7" s="27"/>
      <c r="E7" s="28"/>
      <c r="F7" s="27"/>
      <c r="G7" s="28"/>
      <c r="H7" s="27"/>
      <c r="I7" s="28"/>
      <c r="J7" s="27"/>
      <c r="K7" s="28"/>
      <c r="L7" s="27"/>
      <c r="M7" s="28"/>
      <c r="N7" s="27"/>
      <c r="O7" s="28"/>
      <c r="P7" s="27"/>
      <c r="Q7" s="28"/>
      <c r="R7" s="27"/>
      <c r="S7" s="28"/>
      <c r="T7" s="27"/>
      <c r="U7" s="28"/>
      <c r="V7" s="27"/>
      <c r="W7" s="28"/>
      <c r="X7" s="27"/>
      <c r="Y7" s="28"/>
      <c r="Z7" s="27"/>
      <c r="AA7" s="28"/>
      <c r="AB7" s="27"/>
      <c r="AC7" s="28"/>
      <c r="AD7" s="27"/>
      <c r="AE7" s="28"/>
      <c r="AF7" s="27"/>
      <c r="AG7" s="28"/>
      <c r="AH7" s="27"/>
      <c r="AI7" s="28"/>
      <c r="AJ7" s="27"/>
      <c r="AK7" s="28"/>
      <c r="AL7" s="27"/>
      <c r="AM7" s="28"/>
      <c r="AN7" s="27"/>
      <c r="AO7" s="28"/>
      <c r="AP7" s="11" t="str">
        <f t="shared" si="0"/>
        <v/>
      </c>
      <c r="AQ7" s="31" t="str">
        <f>IFERROR(IF(AP7="", "", RANK(AP7,$AP$2:$AP$33)), "")</f>
        <v/>
      </c>
      <c r="AR7" s="35" t="str">
        <f>IF(AQ7 &lt;&gt; "", COUNTIF(AQ2:AQ33, "&gt;0") -AQ7 +1, "")</f>
        <v/>
      </c>
    </row>
    <row r="8" spans="1:44" x14ac:dyDescent="0.25">
      <c r="A8" s="23" t="str">
        <f>IF('Score joueurs'!A8="","", 'Score joueurs'!A8)</f>
        <v/>
      </c>
      <c r="B8" s="27"/>
      <c r="C8" s="28"/>
      <c r="D8" s="27"/>
      <c r="E8" s="28"/>
      <c r="F8" s="27"/>
      <c r="G8" s="28"/>
      <c r="H8" s="27"/>
      <c r="I8" s="28"/>
      <c r="J8" s="27"/>
      <c r="K8" s="28"/>
      <c r="L8" s="27"/>
      <c r="M8" s="28"/>
      <c r="N8" s="27"/>
      <c r="O8" s="28"/>
      <c r="P8" s="27"/>
      <c r="Q8" s="28"/>
      <c r="R8" s="27"/>
      <c r="S8" s="28"/>
      <c r="T8" s="27"/>
      <c r="U8" s="28"/>
      <c r="V8" s="27"/>
      <c r="W8" s="28"/>
      <c r="X8" s="27"/>
      <c r="Y8" s="28"/>
      <c r="Z8" s="27"/>
      <c r="AA8" s="28"/>
      <c r="AB8" s="27"/>
      <c r="AC8" s="28"/>
      <c r="AD8" s="27"/>
      <c r="AE8" s="28"/>
      <c r="AF8" s="27"/>
      <c r="AG8" s="28"/>
      <c r="AH8" s="27"/>
      <c r="AI8" s="28"/>
      <c r="AJ8" s="27"/>
      <c r="AK8" s="28"/>
      <c r="AL8" s="27"/>
      <c r="AM8" s="28"/>
      <c r="AN8" s="27"/>
      <c r="AO8" s="28"/>
      <c r="AP8" s="11" t="str">
        <f t="shared" si="0"/>
        <v/>
      </c>
      <c r="AQ8" s="31" t="str">
        <f>IFERROR(IF(AP8="", "", RANK(AP8,$AP$2:$AP$33)), "")</f>
        <v/>
      </c>
      <c r="AR8" s="35" t="str">
        <f>IF(AQ8 &lt;&gt; "", COUNTIF(AQ2:AQ33, "&gt;0") -AQ8 +1, "")</f>
        <v/>
      </c>
    </row>
    <row r="9" spans="1:44" x14ac:dyDescent="0.25">
      <c r="A9" s="23" t="str">
        <f>IF('Score joueurs'!A9="","", 'Score joueurs'!A9)</f>
        <v/>
      </c>
      <c r="B9" s="27"/>
      <c r="C9" s="28"/>
      <c r="D9" s="27"/>
      <c r="E9" s="28"/>
      <c r="F9" s="27"/>
      <c r="G9" s="28"/>
      <c r="H9" s="27"/>
      <c r="I9" s="28"/>
      <c r="J9" s="27"/>
      <c r="K9" s="28"/>
      <c r="L9" s="27"/>
      <c r="M9" s="28"/>
      <c r="N9" s="27"/>
      <c r="O9" s="28"/>
      <c r="P9" s="27"/>
      <c r="Q9" s="28"/>
      <c r="R9" s="27"/>
      <c r="S9" s="28"/>
      <c r="T9" s="27"/>
      <c r="U9" s="28"/>
      <c r="V9" s="27"/>
      <c r="W9" s="28"/>
      <c r="X9" s="27"/>
      <c r="Y9" s="28"/>
      <c r="Z9" s="27"/>
      <c r="AA9" s="28"/>
      <c r="AB9" s="27"/>
      <c r="AC9" s="28"/>
      <c r="AD9" s="27"/>
      <c r="AE9" s="28"/>
      <c r="AF9" s="27"/>
      <c r="AG9" s="28"/>
      <c r="AH9" s="27"/>
      <c r="AI9" s="28"/>
      <c r="AJ9" s="27"/>
      <c r="AK9" s="28"/>
      <c r="AL9" s="27"/>
      <c r="AM9" s="28"/>
      <c r="AN9" s="27"/>
      <c r="AO9" s="28"/>
      <c r="AP9" s="11" t="str">
        <f t="shared" si="0"/>
        <v/>
      </c>
      <c r="AQ9" s="31" t="str">
        <f>IFERROR(IF(AP9="", "", RANK(AP9,$AP$2:$AP$33)), "")</f>
        <v/>
      </c>
      <c r="AR9" s="35" t="str">
        <f>IF(AQ9 &lt;&gt; "", COUNTIF(AQ2:AQ33, "&gt;0") -AQ9 +1, "")</f>
        <v/>
      </c>
    </row>
    <row r="10" spans="1:44" x14ac:dyDescent="0.25">
      <c r="A10" s="23" t="str">
        <f>IF('Score joueurs'!A10="","", 'Score joueurs'!A10)</f>
        <v/>
      </c>
      <c r="B10" s="27"/>
      <c r="C10" s="28"/>
      <c r="D10" s="27"/>
      <c r="E10" s="28"/>
      <c r="F10" s="27"/>
      <c r="G10" s="28"/>
      <c r="H10" s="27"/>
      <c r="I10" s="28"/>
      <c r="J10" s="27"/>
      <c r="K10" s="28"/>
      <c r="L10" s="27"/>
      <c r="M10" s="28"/>
      <c r="N10" s="27"/>
      <c r="O10" s="28"/>
      <c r="P10" s="27"/>
      <c r="Q10" s="28"/>
      <c r="R10" s="27"/>
      <c r="S10" s="28"/>
      <c r="T10" s="27"/>
      <c r="U10" s="28"/>
      <c r="V10" s="27"/>
      <c r="W10" s="28"/>
      <c r="X10" s="27"/>
      <c r="Y10" s="28"/>
      <c r="Z10" s="27"/>
      <c r="AA10" s="28"/>
      <c r="AB10" s="27"/>
      <c r="AC10" s="28"/>
      <c r="AD10" s="27"/>
      <c r="AE10" s="28"/>
      <c r="AF10" s="27"/>
      <c r="AG10" s="28"/>
      <c r="AH10" s="27"/>
      <c r="AI10" s="28"/>
      <c r="AJ10" s="27"/>
      <c r="AK10" s="28"/>
      <c r="AL10" s="27"/>
      <c r="AM10" s="28"/>
      <c r="AN10" s="27"/>
      <c r="AO10" s="28"/>
      <c r="AP10" s="11" t="str">
        <f t="shared" si="0"/>
        <v/>
      </c>
      <c r="AQ10" s="31" t="str">
        <f>IFERROR(IF(AP10="", "", RANK(AP10,$AP$2:$AP$33)), "")</f>
        <v/>
      </c>
      <c r="AR10" s="35" t="str">
        <f>IF(AQ10 &lt;&gt; "", COUNTIF(AQ2:AQ33, "&gt;0") -AQ10 +1, "")</f>
        <v/>
      </c>
    </row>
    <row r="11" spans="1:44" x14ac:dyDescent="0.25">
      <c r="A11" s="23" t="str">
        <f>IF('Score joueurs'!A11="","", 'Score joueurs'!A11)</f>
        <v/>
      </c>
      <c r="B11" s="27"/>
      <c r="C11" s="28"/>
      <c r="D11" s="27"/>
      <c r="E11" s="28"/>
      <c r="F11" s="27"/>
      <c r="G11" s="28"/>
      <c r="H11" s="27"/>
      <c r="I11" s="28"/>
      <c r="J11" s="27"/>
      <c r="K11" s="28"/>
      <c r="L11" s="27"/>
      <c r="M11" s="28"/>
      <c r="N11" s="27"/>
      <c r="O11" s="28"/>
      <c r="P11" s="27"/>
      <c r="Q11" s="28"/>
      <c r="R11" s="27"/>
      <c r="S11" s="28"/>
      <c r="T11" s="27"/>
      <c r="U11" s="28"/>
      <c r="V11" s="27"/>
      <c r="W11" s="28"/>
      <c r="X11" s="27"/>
      <c r="Y11" s="28"/>
      <c r="Z11" s="27"/>
      <c r="AA11" s="28"/>
      <c r="AB11" s="27"/>
      <c r="AC11" s="28"/>
      <c r="AD11" s="27"/>
      <c r="AE11" s="28"/>
      <c r="AF11" s="27"/>
      <c r="AG11" s="28"/>
      <c r="AH11" s="27"/>
      <c r="AI11" s="28"/>
      <c r="AJ11" s="27"/>
      <c r="AK11" s="28"/>
      <c r="AL11" s="27"/>
      <c r="AM11" s="28"/>
      <c r="AN11" s="27"/>
      <c r="AO11" s="28"/>
      <c r="AP11" s="11" t="str">
        <f t="shared" si="0"/>
        <v/>
      </c>
      <c r="AQ11" s="31" t="str">
        <f>IFERROR(IF(AP11="", "", RANK(AP11,$AP$2:$AP$33)), "")</f>
        <v/>
      </c>
      <c r="AR11" s="35" t="str">
        <f>IF(AQ11 &lt;&gt; "", COUNTIF(AQ2:AQ33, "&gt;0") -AQ11 +1, "")</f>
        <v/>
      </c>
    </row>
    <row r="12" spans="1:44" x14ac:dyDescent="0.25">
      <c r="A12" s="23" t="str">
        <f>IF('Score joueurs'!A12="","", 'Score joueurs'!A12)</f>
        <v/>
      </c>
      <c r="B12" s="27"/>
      <c r="C12" s="28"/>
      <c r="D12" s="27"/>
      <c r="E12" s="28"/>
      <c r="F12" s="27"/>
      <c r="G12" s="28"/>
      <c r="H12" s="27"/>
      <c r="I12" s="28"/>
      <c r="J12" s="27"/>
      <c r="K12" s="28"/>
      <c r="L12" s="27"/>
      <c r="M12" s="28"/>
      <c r="N12" s="27"/>
      <c r="O12" s="28"/>
      <c r="P12" s="27"/>
      <c r="Q12" s="28"/>
      <c r="R12" s="27"/>
      <c r="S12" s="28"/>
      <c r="T12" s="27"/>
      <c r="U12" s="28"/>
      <c r="V12" s="27"/>
      <c r="W12" s="28"/>
      <c r="X12" s="27"/>
      <c r="Y12" s="28"/>
      <c r="Z12" s="27"/>
      <c r="AA12" s="28"/>
      <c r="AB12" s="27"/>
      <c r="AC12" s="28"/>
      <c r="AD12" s="27"/>
      <c r="AE12" s="28"/>
      <c r="AF12" s="27"/>
      <c r="AG12" s="28"/>
      <c r="AH12" s="27"/>
      <c r="AI12" s="28"/>
      <c r="AJ12" s="27"/>
      <c r="AK12" s="28"/>
      <c r="AL12" s="27"/>
      <c r="AM12" s="28"/>
      <c r="AN12" s="27"/>
      <c r="AO12" s="28"/>
      <c r="AP12" s="11" t="str">
        <f t="shared" si="0"/>
        <v/>
      </c>
      <c r="AQ12" s="31" t="str">
        <f>IFERROR(IF(AP12="", "", RANK(AP12,$AP$2:$AP$33)), "")</f>
        <v/>
      </c>
      <c r="AR12" s="35" t="str">
        <f>IF(AQ12 &lt;&gt; "", COUNTIF(AQ2:AQ33, "&gt;0") -AQ12 +1, "")</f>
        <v/>
      </c>
    </row>
    <row r="13" spans="1:44" x14ac:dyDescent="0.25">
      <c r="A13" s="23" t="str">
        <f>IF('Score joueurs'!A13="","", 'Score joueurs'!A13)</f>
        <v/>
      </c>
      <c r="B13" s="27"/>
      <c r="C13" s="28"/>
      <c r="D13" s="27"/>
      <c r="E13" s="28"/>
      <c r="F13" s="27"/>
      <c r="G13" s="28"/>
      <c r="H13" s="27"/>
      <c r="I13" s="28"/>
      <c r="J13" s="27"/>
      <c r="K13" s="28"/>
      <c r="L13" s="27"/>
      <c r="M13" s="28"/>
      <c r="N13" s="27"/>
      <c r="O13" s="28"/>
      <c r="P13" s="27"/>
      <c r="Q13" s="28"/>
      <c r="R13" s="27"/>
      <c r="S13" s="28"/>
      <c r="T13" s="27"/>
      <c r="U13" s="28"/>
      <c r="V13" s="27"/>
      <c r="W13" s="28"/>
      <c r="X13" s="27"/>
      <c r="Y13" s="28"/>
      <c r="Z13" s="27"/>
      <c r="AA13" s="28"/>
      <c r="AB13" s="27"/>
      <c r="AC13" s="28"/>
      <c r="AD13" s="27"/>
      <c r="AE13" s="28"/>
      <c r="AF13" s="27"/>
      <c r="AG13" s="28"/>
      <c r="AH13" s="27"/>
      <c r="AI13" s="28"/>
      <c r="AJ13" s="27"/>
      <c r="AK13" s="28"/>
      <c r="AL13" s="27"/>
      <c r="AM13" s="28"/>
      <c r="AN13" s="27"/>
      <c r="AO13" s="28"/>
      <c r="AP13" s="11" t="str">
        <f t="shared" si="0"/>
        <v/>
      </c>
      <c r="AQ13" s="31" t="str">
        <f>IFERROR(IF(AP13="", "", RANK(AP13,$AP$2:$AP$33)), "")</f>
        <v/>
      </c>
      <c r="AR13" s="35" t="str">
        <f>IF(AQ13 &lt;&gt; "", COUNTIF(AQ2:AQ33, "&gt;0") -AQ13 +1, "")</f>
        <v/>
      </c>
    </row>
    <row r="14" spans="1:44" x14ac:dyDescent="0.25">
      <c r="A14" s="23" t="str">
        <f>IF('Score joueurs'!A14="","", 'Score joueurs'!A14)</f>
        <v/>
      </c>
      <c r="B14" s="27"/>
      <c r="C14" s="28"/>
      <c r="D14" s="27"/>
      <c r="E14" s="28"/>
      <c r="F14" s="27"/>
      <c r="G14" s="28"/>
      <c r="H14" s="27"/>
      <c r="I14" s="28"/>
      <c r="J14" s="27"/>
      <c r="K14" s="28"/>
      <c r="L14" s="27"/>
      <c r="M14" s="28"/>
      <c r="N14" s="27"/>
      <c r="O14" s="28"/>
      <c r="P14" s="27"/>
      <c r="Q14" s="28"/>
      <c r="R14" s="27"/>
      <c r="S14" s="28"/>
      <c r="T14" s="27"/>
      <c r="U14" s="28"/>
      <c r="V14" s="27"/>
      <c r="W14" s="28"/>
      <c r="X14" s="27"/>
      <c r="Y14" s="28"/>
      <c r="Z14" s="27"/>
      <c r="AA14" s="28"/>
      <c r="AB14" s="27"/>
      <c r="AC14" s="28"/>
      <c r="AD14" s="27"/>
      <c r="AE14" s="28"/>
      <c r="AF14" s="27"/>
      <c r="AG14" s="28"/>
      <c r="AH14" s="27"/>
      <c r="AI14" s="28"/>
      <c r="AJ14" s="27"/>
      <c r="AK14" s="28"/>
      <c r="AL14" s="27"/>
      <c r="AM14" s="28"/>
      <c r="AN14" s="27"/>
      <c r="AO14" s="28"/>
      <c r="AP14" s="11" t="str">
        <f t="shared" si="0"/>
        <v/>
      </c>
      <c r="AQ14" s="31" t="str">
        <f>IFERROR(IF(AP14="", "", RANK(AP14,$AP$2:$AP$33)), "")</f>
        <v/>
      </c>
      <c r="AR14" s="35" t="str">
        <f>IF(AQ14 &lt;&gt; "", COUNTIF(AQ2:AQ33, "&gt;0") -AQ14 +1, "")</f>
        <v/>
      </c>
    </row>
    <row r="15" spans="1:44" x14ac:dyDescent="0.25">
      <c r="A15" s="23" t="str">
        <f>IF('Score joueurs'!A15="","", 'Score joueurs'!A15)</f>
        <v/>
      </c>
      <c r="B15" s="27"/>
      <c r="C15" s="28"/>
      <c r="D15" s="27"/>
      <c r="E15" s="28"/>
      <c r="F15" s="27"/>
      <c r="G15" s="28"/>
      <c r="H15" s="27"/>
      <c r="I15" s="28"/>
      <c r="J15" s="27"/>
      <c r="K15" s="28"/>
      <c r="L15" s="27"/>
      <c r="M15" s="28"/>
      <c r="N15" s="27"/>
      <c r="O15" s="28"/>
      <c r="P15" s="27"/>
      <c r="Q15" s="28"/>
      <c r="R15" s="27"/>
      <c r="S15" s="28"/>
      <c r="T15" s="27"/>
      <c r="U15" s="28"/>
      <c r="V15" s="27"/>
      <c r="W15" s="28"/>
      <c r="X15" s="27"/>
      <c r="Y15" s="28"/>
      <c r="Z15" s="27"/>
      <c r="AA15" s="28"/>
      <c r="AB15" s="27"/>
      <c r="AC15" s="28"/>
      <c r="AD15" s="27"/>
      <c r="AE15" s="28"/>
      <c r="AF15" s="27"/>
      <c r="AG15" s="28"/>
      <c r="AH15" s="27"/>
      <c r="AI15" s="28"/>
      <c r="AJ15" s="27"/>
      <c r="AK15" s="28"/>
      <c r="AL15" s="27"/>
      <c r="AM15" s="28"/>
      <c r="AN15" s="27"/>
      <c r="AO15" s="28"/>
      <c r="AP15" s="11" t="str">
        <f t="shared" si="0"/>
        <v/>
      </c>
      <c r="AQ15" s="31" t="str">
        <f>IFERROR(IF(AP15="", "", RANK(AP15,$AP$2:$AP$33)), "")</f>
        <v/>
      </c>
      <c r="AR15" s="35" t="str">
        <f>IF(AQ15 &lt;&gt; "", COUNTIF(AQ2:AQ33, "&gt;0") -AQ15 +1, "")</f>
        <v/>
      </c>
    </row>
    <row r="16" spans="1:44" x14ac:dyDescent="0.25">
      <c r="A16" s="23" t="str">
        <f>IF('Score joueurs'!A16="","", 'Score joueurs'!A16)</f>
        <v/>
      </c>
      <c r="B16" s="27"/>
      <c r="C16" s="28"/>
      <c r="D16" s="27"/>
      <c r="E16" s="28"/>
      <c r="F16" s="27"/>
      <c r="G16" s="28"/>
      <c r="H16" s="27"/>
      <c r="I16" s="28"/>
      <c r="J16" s="27"/>
      <c r="K16" s="28"/>
      <c r="L16" s="27"/>
      <c r="M16" s="28"/>
      <c r="N16" s="27"/>
      <c r="O16" s="28"/>
      <c r="P16" s="27"/>
      <c r="Q16" s="28"/>
      <c r="R16" s="27"/>
      <c r="S16" s="28"/>
      <c r="T16" s="27"/>
      <c r="U16" s="28"/>
      <c r="V16" s="27"/>
      <c r="W16" s="28"/>
      <c r="X16" s="27"/>
      <c r="Y16" s="28"/>
      <c r="Z16" s="27"/>
      <c r="AA16" s="28"/>
      <c r="AB16" s="27"/>
      <c r="AC16" s="28"/>
      <c r="AD16" s="27"/>
      <c r="AE16" s="28"/>
      <c r="AF16" s="27"/>
      <c r="AG16" s="28"/>
      <c r="AH16" s="27"/>
      <c r="AI16" s="28"/>
      <c r="AJ16" s="27"/>
      <c r="AK16" s="28"/>
      <c r="AL16" s="27"/>
      <c r="AM16" s="28"/>
      <c r="AN16" s="27"/>
      <c r="AO16" s="28"/>
      <c r="AP16" s="11" t="str">
        <f t="shared" si="0"/>
        <v/>
      </c>
      <c r="AQ16" s="31" t="str">
        <f>IFERROR(IF(AP16="", "", RANK(AP16,$AP$2:$AP$33)), "")</f>
        <v/>
      </c>
      <c r="AR16" s="35" t="str">
        <f>IF(AQ16 &lt;&gt; "", COUNTIF(AQ2:AQ33, "&gt;0") -AQ16 +1, "")</f>
        <v/>
      </c>
    </row>
    <row r="17" spans="1:44" x14ac:dyDescent="0.25">
      <c r="A17" s="23" t="str">
        <f>IF('Score joueurs'!A17="","", 'Score joueurs'!A17)</f>
        <v/>
      </c>
      <c r="B17" s="27"/>
      <c r="C17" s="28"/>
      <c r="D17" s="27"/>
      <c r="E17" s="28"/>
      <c r="F17" s="27"/>
      <c r="G17" s="28"/>
      <c r="H17" s="27"/>
      <c r="I17" s="28"/>
      <c r="J17" s="27"/>
      <c r="K17" s="28"/>
      <c r="L17" s="27"/>
      <c r="M17" s="28"/>
      <c r="N17" s="27"/>
      <c r="O17" s="28"/>
      <c r="P17" s="27"/>
      <c r="Q17" s="28"/>
      <c r="R17" s="27"/>
      <c r="S17" s="28"/>
      <c r="T17" s="27"/>
      <c r="U17" s="28"/>
      <c r="V17" s="27"/>
      <c r="W17" s="28"/>
      <c r="X17" s="27"/>
      <c r="Y17" s="28"/>
      <c r="Z17" s="27"/>
      <c r="AA17" s="28"/>
      <c r="AB17" s="27"/>
      <c r="AC17" s="28"/>
      <c r="AD17" s="27"/>
      <c r="AE17" s="28"/>
      <c r="AF17" s="27"/>
      <c r="AG17" s="28"/>
      <c r="AH17" s="27"/>
      <c r="AI17" s="28"/>
      <c r="AJ17" s="27"/>
      <c r="AK17" s="28"/>
      <c r="AL17" s="27"/>
      <c r="AM17" s="28"/>
      <c r="AN17" s="27"/>
      <c r="AO17" s="28"/>
      <c r="AP17" s="11" t="str">
        <f t="shared" si="0"/>
        <v/>
      </c>
      <c r="AQ17" s="31" t="str">
        <f>IFERROR(IF(AP17="", "", RANK(AP17,$AP$2:$AP$33)), "")</f>
        <v/>
      </c>
      <c r="AR17" s="35" t="str">
        <f>IF(AQ17 &lt;&gt; "", COUNTIF(AQ2:AQ33, "&gt;0") -AQ17 +1, "")</f>
        <v/>
      </c>
    </row>
    <row r="18" spans="1:44" x14ac:dyDescent="0.25">
      <c r="A18" s="23" t="str">
        <f>IF('Score joueurs'!A18="","", 'Score joueurs'!A18)</f>
        <v/>
      </c>
      <c r="B18" s="27"/>
      <c r="C18" s="28"/>
      <c r="D18" s="27"/>
      <c r="E18" s="28"/>
      <c r="F18" s="27"/>
      <c r="G18" s="28"/>
      <c r="H18" s="27"/>
      <c r="I18" s="28"/>
      <c r="J18" s="27"/>
      <c r="K18" s="28"/>
      <c r="L18" s="27"/>
      <c r="M18" s="28"/>
      <c r="N18" s="27"/>
      <c r="O18" s="28"/>
      <c r="P18" s="27"/>
      <c r="Q18" s="28"/>
      <c r="R18" s="27"/>
      <c r="S18" s="28"/>
      <c r="T18" s="27"/>
      <c r="U18" s="28"/>
      <c r="V18" s="27"/>
      <c r="W18" s="28"/>
      <c r="X18" s="27"/>
      <c r="Y18" s="28"/>
      <c r="Z18" s="27"/>
      <c r="AA18" s="28"/>
      <c r="AB18" s="27"/>
      <c r="AC18" s="28"/>
      <c r="AD18" s="27"/>
      <c r="AE18" s="28"/>
      <c r="AF18" s="27"/>
      <c r="AG18" s="28"/>
      <c r="AH18" s="27"/>
      <c r="AI18" s="28"/>
      <c r="AJ18" s="27"/>
      <c r="AK18" s="28"/>
      <c r="AL18" s="27"/>
      <c r="AM18" s="28"/>
      <c r="AN18" s="27"/>
      <c r="AO18" s="28"/>
      <c r="AP18" s="11" t="str">
        <f t="shared" si="0"/>
        <v/>
      </c>
      <c r="AQ18" s="31" t="str">
        <f>IFERROR(IF(AP18="", "", RANK(AP18,$AP$2:$AP$33)), "")</f>
        <v/>
      </c>
      <c r="AR18" s="35" t="str">
        <f>IF(AQ18 &lt;&gt; "", COUNTIF(AQ2:AQ33, "&gt;0") -AQ18 +1, "")</f>
        <v/>
      </c>
    </row>
    <row r="19" spans="1:44" x14ac:dyDescent="0.25">
      <c r="A19" s="23" t="str">
        <f>IF('Score joueurs'!A19="","", 'Score joueurs'!A19)</f>
        <v/>
      </c>
      <c r="B19" s="27"/>
      <c r="C19" s="28"/>
      <c r="D19" s="27"/>
      <c r="E19" s="28"/>
      <c r="F19" s="27"/>
      <c r="G19" s="28"/>
      <c r="H19" s="27"/>
      <c r="I19" s="28"/>
      <c r="J19" s="27"/>
      <c r="K19" s="28"/>
      <c r="L19" s="27"/>
      <c r="M19" s="28"/>
      <c r="N19" s="27"/>
      <c r="O19" s="28"/>
      <c r="P19" s="27"/>
      <c r="Q19" s="28"/>
      <c r="R19" s="27"/>
      <c r="S19" s="28"/>
      <c r="T19" s="27"/>
      <c r="U19" s="28"/>
      <c r="V19" s="27"/>
      <c r="W19" s="28"/>
      <c r="X19" s="27"/>
      <c r="Y19" s="28"/>
      <c r="Z19" s="27"/>
      <c r="AA19" s="28"/>
      <c r="AB19" s="27"/>
      <c r="AC19" s="28"/>
      <c r="AD19" s="27"/>
      <c r="AE19" s="28"/>
      <c r="AF19" s="27"/>
      <c r="AG19" s="28"/>
      <c r="AH19" s="27"/>
      <c r="AI19" s="28"/>
      <c r="AJ19" s="27"/>
      <c r="AK19" s="28"/>
      <c r="AL19" s="27"/>
      <c r="AM19" s="28"/>
      <c r="AN19" s="27"/>
      <c r="AO19" s="28"/>
      <c r="AP19" s="11" t="str">
        <f t="shared" si="0"/>
        <v/>
      </c>
      <c r="AQ19" s="31" t="str">
        <f>IFERROR(IF(AP19="", "", RANK(AP19,$AP$2:$AP$33)), "")</f>
        <v/>
      </c>
      <c r="AR19" s="35" t="str">
        <f>IF(AQ19 &lt;&gt; "", COUNTIF(AQ2:AQ33, "&gt;0") -AQ19 +1, "")</f>
        <v/>
      </c>
    </row>
    <row r="20" spans="1:44" x14ac:dyDescent="0.25">
      <c r="A20" s="23" t="str">
        <f>IF('Score joueurs'!A20="","", 'Score joueurs'!A20)</f>
        <v/>
      </c>
      <c r="B20" s="27"/>
      <c r="C20" s="28"/>
      <c r="D20" s="27"/>
      <c r="E20" s="28"/>
      <c r="F20" s="27"/>
      <c r="G20" s="28"/>
      <c r="H20" s="27"/>
      <c r="I20" s="28"/>
      <c r="J20" s="27"/>
      <c r="K20" s="28"/>
      <c r="L20" s="27"/>
      <c r="M20" s="28"/>
      <c r="N20" s="27"/>
      <c r="O20" s="28"/>
      <c r="P20" s="27"/>
      <c r="Q20" s="28"/>
      <c r="R20" s="27"/>
      <c r="S20" s="28"/>
      <c r="T20" s="27"/>
      <c r="U20" s="28"/>
      <c r="V20" s="27"/>
      <c r="W20" s="28"/>
      <c r="X20" s="27"/>
      <c r="Y20" s="28"/>
      <c r="Z20" s="27"/>
      <c r="AA20" s="28"/>
      <c r="AB20" s="27"/>
      <c r="AC20" s="28"/>
      <c r="AD20" s="27"/>
      <c r="AE20" s="28"/>
      <c r="AF20" s="27"/>
      <c r="AG20" s="28"/>
      <c r="AH20" s="27"/>
      <c r="AI20" s="28"/>
      <c r="AJ20" s="27"/>
      <c r="AK20" s="28"/>
      <c r="AL20" s="27"/>
      <c r="AM20" s="28"/>
      <c r="AN20" s="27"/>
      <c r="AO20" s="28"/>
      <c r="AP20" s="11" t="str">
        <f t="shared" si="0"/>
        <v/>
      </c>
      <c r="AQ20" s="31" t="str">
        <f>IFERROR(IF(AP20="", "", RANK(AP20,$AP$2:$AP$33)), "")</f>
        <v/>
      </c>
      <c r="AR20" s="35" t="str">
        <f>IF(AQ20 &lt;&gt; "", COUNTIF(AQ2:AQ33, "&gt;0") -AQ20 +1, "")</f>
        <v/>
      </c>
    </row>
    <row r="21" spans="1:44" x14ac:dyDescent="0.25">
      <c r="A21" s="23" t="str">
        <f>IF('Score joueurs'!A21="","", 'Score joueurs'!A21)</f>
        <v/>
      </c>
      <c r="B21" s="27"/>
      <c r="C21" s="28"/>
      <c r="D21" s="27"/>
      <c r="E21" s="28"/>
      <c r="F21" s="27"/>
      <c r="G21" s="28"/>
      <c r="H21" s="27"/>
      <c r="I21" s="28"/>
      <c r="J21" s="27"/>
      <c r="K21" s="28"/>
      <c r="L21" s="27"/>
      <c r="M21" s="28"/>
      <c r="N21" s="27"/>
      <c r="O21" s="28"/>
      <c r="P21" s="27"/>
      <c r="Q21" s="28"/>
      <c r="R21" s="27"/>
      <c r="S21" s="28"/>
      <c r="T21" s="27"/>
      <c r="U21" s="28"/>
      <c r="V21" s="27"/>
      <c r="W21" s="28"/>
      <c r="X21" s="27"/>
      <c r="Y21" s="28"/>
      <c r="Z21" s="27"/>
      <c r="AA21" s="28"/>
      <c r="AB21" s="27"/>
      <c r="AC21" s="28"/>
      <c r="AD21" s="27"/>
      <c r="AE21" s="28"/>
      <c r="AF21" s="27"/>
      <c r="AG21" s="28"/>
      <c r="AH21" s="27"/>
      <c r="AI21" s="28"/>
      <c r="AJ21" s="27"/>
      <c r="AK21" s="28"/>
      <c r="AL21" s="27"/>
      <c r="AM21" s="28"/>
      <c r="AN21" s="27"/>
      <c r="AO21" s="28"/>
      <c r="AP21" s="11" t="str">
        <f t="shared" si="0"/>
        <v/>
      </c>
      <c r="AQ21" s="31" t="str">
        <f>IFERROR(IF(AP21="", "", RANK(AP21,$AP$2:$AP$33)), "")</f>
        <v/>
      </c>
      <c r="AR21" s="35" t="str">
        <f>IF(AQ21 &lt;&gt; "", COUNTIF(AQ2:AQ33, "&gt;0") -AQ21 +1, "")</f>
        <v/>
      </c>
    </row>
    <row r="22" spans="1:44" x14ac:dyDescent="0.25">
      <c r="A22" s="23" t="str">
        <f>IF('Score joueurs'!A22="","", 'Score joueurs'!A22)</f>
        <v/>
      </c>
      <c r="B22" s="27"/>
      <c r="C22" s="28"/>
      <c r="D22" s="27"/>
      <c r="E22" s="28"/>
      <c r="F22" s="27"/>
      <c r="G22" s="28"/>
      <c r="H22" s="27"/>
      <c r="I22" s="28"/>
      <c r="J22" s="27"/>
      <c r="K22" s="28"/>
      <c r="L22" s="27"/>
      <c r="M22" s="28"/>
      <c r="N22" s="27"/>
      <c r="O22" s="28"/>
      <c r="P22" s="27"/>
      <c r="Q22" s="28"/>
      <c r="R22" s="27"/>
      <c r="S22" s="28"/>
      <c r="T22" s="27"/>
      <c r="U22" s="28"/>
      <c r="V22" s="27"/>
      <c r="W22" s="28"/>
      <c r="X22" s="27"/>
      <c r="Y22" s="28"/>
      <c r="Z22" s="27"/>
      <c r="AA22" s="28"/>
      <c r="AB22" s="27"/>
      <c r="AC22" s="28"/>
      <c r="AD22" s="27"/>
      <c r="AE22" s="28"/>
      <c r="AF22" s="27"/>
      <c r="AG22" s="28"/>
      <c r="AH22" s="27"/>
      <c r="AI22" s="28"/>
      <c r="AJ22" s="27"/>
      <c r="AK22" s="28"/>
      <c r="AL22" s="27"/>
      <c r="AM22" s="28"/>
      <c r="AN22" s="27"/>
      <c r="AO22" s="28"/>
      <c r="AP22" s="11" t="str">
        <f t="shared" si="0"/>
        <v/>
      </c>
      <c r="AQ22" s="31" t="str">
        <f>IFERROR(IF(AP22="", "", RANK(AP22,$AP$2:$AP$33)), "")</f>
        <v/>
      </c>
      <c r="AR22" s="35" t="str">
        <f>IF(AQ22 &lt;&gt; "", COUNTIF(AQ2:AQ33, "&gt;0") -AQ22 +1, "")</f>
        <v/>
      </c>
    </row>
    <row r="23" spans="1:44" x14ac:dyDescent="0.25">
      <c r="A23" s="23" t="str">
        <f>IF('Score joueurs'!A23="","", 'Score joueurs'!A23)</f>
        <v/>
      </c>
      <c r="B23" s="27"/>
      <c r="C23" s="28"/>
      <c r="D23" s="27"/>
      <c r="E23" s="28"/>
      <c r="F23" s="27"/>
      <c r="G23" s="28"/>
      <c r="H23" s="27"/>
      <c r="I23" s="28"/>
      <c r="J23" s="27"/>
      <c r="K23" s="28"/>
      <c r="L23" s="27"/>
      <c r="M23" s="28"/>
      <c r="N23" s="27"/>
      <c r="O23" s="28"/>
      <c r="P23" s="27"/>
      <c r="Q23" s="28"/>
      <c r="R23" s="27"/>
      <c r="S23" s="28"/>
      <c r="T23" s="27"/>
      <c r="U23" s="28"/>
      <c r="V23" s="27"/>
      <c r="W23" s="28"/>
      <c r="X23" s="27"/>
      <c r="Y23" s="28"/>
      <c r="Z23" s="27"/>
      <c r="AA23" s="28"/>
      <c r="AB23" s="27"/>
      <c r="AC23" s="28"/>
      <c r="AD23" s="27"/>
      <c r="AE23" s="28"/>
      <c r="AF23" s="27"/>
      <c r="AG23" s="28"/>
      <c r="AH23" s="27"/>
      <c r="AI23" s="28"/>
      <c r="AJ23" s="27"/>
      <c r="AK23" s="28"/>
      <c r="AL23" s="27"/>
      <c r="AM23" s="28"/>
      <c r="AN23" s="27"/>
      <c r="AO23" s="28"/>
      <c r="AP23" s="11" t="str">
        <f t="shared" si="0"/>
        <v/>
      </c>
      <c r="AQ23" s="31" t="str">
        <f>IFERROR(IF(AP23="", "", RANK(AP23,$AP$2:$AP$33)), "")</f>
        <v/>
      </c>
      <c r="AR23" s="35" t="str">
        <f>IF(AQ23 &lt;&gt; "", COUNTIF(AQ2:AQ33, "&gt;0") -AQ23 +1, "")</f>
        <v/>
      </c>
    </row>
    <row r="24" spans="1:44" x14ac:dyDescent="0.25">
      <c r="A24" s="23" t="str">
        <f>IF('Score joueurs'!A24="","", 'Score joueurs'!A24)</f>
        <v/>
      </c>
      <c r="B24" s="27"/>
      <c r="C24" s="28"/>
      <c r="D24" s="27"/>
      <c r="E24" s="28"/>
      <c r="F24" s="27"/>
      <c r="G24" s="28"/>
      <c r="H24" s="27"/>
      <c r="I24" s="28"/>
      <c r="J24" s="27"/>
      <c r="K24" s="28"/>
      <c r="L24" s="27"/>
      <c r="M24" s="28"/>
      <c r="N24" s="27"/>
      <c r="O24" s="28"/>
      <c r="P24" s="27"/>
      <c r="Q24" s="28"/>
      <c r="R24" s="27"/>
      <c r="S24" s="28"/>
      <c r="T24" s="27"/>
      <c r="U24" s="28"/>
      <c r="V24" s="27"/>
      <c r="W24" s="28"/>
      <c r="X24" s="27"/>
      <c r="Y24" s="28"/>
      <c r="Z24" s="27"/>
      <c r="AA24" s="28"/>
      <c r="AB24" s="27"/>
      <c r="AC24" s="28"/>
      <c r="AD24" s="27"/>
      <c r="AE24" s="28"/>
      <c r="AF24" s="27"/>
      <c r="AG24" s="28"/>
      <c r="AH24" s="27"/>
      <c r="AI24" s="28"/>
      <c r="AJ24" s="27"/>
      <c r="AK24" s="28"/>
      <c r="AL24" s="27"/>
      <c r="AM24" s="28"/>
      <c r="AN24" s="27"/>
      <c r="AO24" s="28"/>
      <c r="AP24" s="11" t="str">
        <f t="shared" si="0"/>
        <v/>
      </c>
      <c r="AQ24" s="31" t="str">
        <f>IFERROR(IF(AP24="", "", RANK(AP24,$AP$2:$AP$33)), "")</f>
        <v/>
      </c>
      <c r="AR24" s="35" t="str">
        <f>IF(AQ24 &lt;&gt; "", COUNTIF(AQ2:AQ33, "&gt;0") -AQ24 +1, "")</f>
        <v/>
      </c>
    </row>
    <row r="25" spans="1:44" x14ac:dyDescent="0.25">
      <c r="A25" s="23" t="str">
        <f>IF('Score joueurs'!A25="","", 'Score joueurs'!A25)</f>
        <v/>
      </c>
      <c r="B25" s="27"/>
      <c r="C25" s="28"/>
      <c r="D25" s="27"/>
      <c r="E25" s="28"/>
      <c r="F25" s="27"/>
      <c r="G25" s="28"/>
      <c r="H25" s="27"/>
      <c r="I25" s="28"/>
      <c r="J25" s="27"/>
      <c r="K25" s="28"/>
      <c r="L25" s="27"/>
      <c r="M25" s="28"/>
      <c r="N25" s="27"/>
      <c r="O25" s="28"/>
      <c r="P25" s="27"/>
      <c r="Q25" s="28"/>
      <c r="R25" s="27"/>
      <c r="S25" s="28"/>
      <c r="T25" s="27"/>
      <c r="U25" s="28"/>
      <c r="V25" s="27"/>
      <c r="W25" s="28"/>
      <c r="X25" s="27"/>
      <c r="Y25" s="28"/>
      <c r="Z25" s="27"/>
      <c r="AA25" s="28"/>
      <c r="AB25" s="27"/>
      <c r="AC25" s="28"/>
      <c r="AD25" s="27"/>
      <c r="AE25" s="28"/>
      <c r="AF25" s="27"/>
      <c r="AG25" s="28"/>
      <c r="AH25" s="27"/>
      <c r="AI25" s="28"/>
      <c r="AJ25" s="27"/>
      <c r="AK25" s="28"/>
      <c r="AL25" s="27"/>
      <c r="AM25" s="28"/>
      <c r="AN25" s="27"/>
      <c r="AO25" s="28"/>
      <c r="AP25" s="11" t="str">
        <f t="shared" si="0"/>
        <v/>
      </c>
      <c r="AQ25" s="31" t="str">
        <f>IFERROR(IF(AP25="", "", RANK(AP25,$AP$2:$AP$33)), "")</f>
        <v/>
      </c>
      <c r="AR25" s="35" t="str">
        <f>IF(AQ25 &lt;&gt; "", COUNTIF(AQ2:AQ33, "&gt;0") -AQ25 +1, "")</f>
        <v/>
      </c>
    </row>
    <row r="26" spans="1:44" x14ac:dyDescent="0.25">
      <c r="A26" s="23" t="str">
        <f>IF('Score joueurs'!A26="","", 'Score joueurs'!A26)</f>
        <v/>
      </c>
      <c r="B26" s="27"/>
      <c r="C26" s="28"/>
      <c r="D26" s="27"/>
      <c r="E26" s="28"/>
      <c r="F26" s="27"/>
      <c r="G26" s="28"/>
      <c r="H26" s="27"/>
      <c r="I26" s="28"/>
      <c r="J26" s="27"/>
      <c r="K26" s="28"/>
      <c r="L26" s="27"/>
      <c r="M26" s="28"/>
      <c r="N26" s="27"/>
      <c r="O26" s="28"/>
      <c r="P26" s="27"/>
      <c r="Q26" s="28"/>
      <c r="R26" s="27"/>
      <c r="S26" s="28"/>
      <c r="T26" s="27"/>
      <c r="U26" s="28"/>
      <c r="V26" s="27"/>
      <c r="W26" s="28"/>
      <c r="X26" s="27"/>
      <c r="Y26" s="28"/>
      <c r="Z26" s="27"/>
      <c r="AA26" s="28"/>
      <c r="AB26" s="27"/>
      <c r="AC26" s="28"/>
      <c r="AD26" s="27"/>
      <c r="AE26" s="28"/>
      <c r="AF26" s="27"/>
      <c r="AG26" s="28"/>
      <c r="AH26" s="27"/>
      <c r="AI26" s="28"/>
      <c r="AJ26" s="27"/>
      <c r="AK26" s="28"/>
      <c r="AL26" s="27"/>
      <c r="AM26" s="28"/>
      <c r="AN26" s="27"/>
      <c r="AO26" s="28"/>
      <c r="AP26" s="11" t="str">
        <f t="shared" si="0"/>
        <v/>
      </c>
      <c r="AQ26" s="31" t="str">
        <f>IFERROR(IF(AP26="", "", RANK(AP26,$AP$2:$AP$33)), "")</f>
        <v/>
      </c>
      <c r="AR26" s="35" t="str">
        <f>IF(AQ26 &lt;&gt; "", COUNTIF(AQ2:AQ33, "&gt;0") -AQ26 +1, "")</f>
        <v/>
      </c>
    </row>
    <row r="27" spans="1:44" x14ac:dyDescent="0.25">
      <c r="A27" s="23" t="str">
        <f>IF('Score joueurs'!A27="","", 'Score joueurs'!A27)</f>
        <v/>
      </c>
      <c r="B27" s="27"/>
      <c r="C27" s="28"/>
      <c r="D27" s="27"/>
      <c r="E27" s="28"/>
      <c r="F27" s="27"/>
      <c r="G27" s="28"/>
      <c r="H27" s="27"/>
      <c r="I27" s="28"/>
      <c r="J27" s="27"/>
      <c r="K27" s="28"/>
      <c r="L27" s="27"/>
      <c r="M27" s="28"/>
      <c r="N27" s="27"/>
      <c r="O27" s="28"/>
      <c r="P27" s="27"/>
      <c r="Q27" s="28"/>
      <c r="R27" s="27"/>
      <c r="S27" s="28"/>
      <c r="T27" s="27"/>
      <c r="U27" s="28"/>
      <c r="V27" s="27"/>
      <c r="W27" s="28"/>
      <c r="X27" s="27"/>
      <c r="Y27" s="28"/>
      <c r="Z27" s="27"/>
      <c r="AA27" s="28"/>
      <c r="AB27" s="27"/>
      <c r="AC27" s="28"/>
      <c r="AD27" s="27"/>
      <c r="AE27" s="28"/>
      <c r="AF27" s="27"/>
      <c r="AG27" s="28"/>
      <c r="AH27" s="27"/>
      <c r="AI27" s="28"/>
      <c r="AJ27" s="27"/>
      <c r="AK27" s="28"/>
      <c r="AL27" s="27"/>
      <c r="AM27" s="28"/>
      <c r="AN27" s="27"/>
      <c r="AO27" s="28"/>
      <c r="AP27" s="11" t="str">
        <f t="shared" si="0"/>
        <v/>
      </c>
      <c r="AQ27" s="31" t="str">
        <f>IFERROR(IF(AP27="", "", RANK(AP27,$AP$2:$AP$33)), "")</f>
        <v/>
      </c>
      <c r="AR27" s="35" t="str">
        <f>IF(AQ27 &lt;&gt; "", COUNTIF(AQ2:AQ33, "&gt;0") -AQ27 +1, "")</f>
        <v/>
      </c>
    </row>
    <row r="28" spans="1:44" x14ac:dyDescent="0.25">
      <c r="A28" s="23" t="str">
        <f>IF('Score joueurs'!A28="","", 'Score joueurs'!A28)</f>
        <v/>
      </c>
      <c r="B28" s="27"/>
      <c r="C28" s="28"/>
      <c r="D28" s="27"/>
      <c r="E28" s="28"/>
      <c r="F28" s="27"/>
      <c r="G28" s="28"/>
      <c r="H28" s="27"/>
      <c r="I28" s="28"/>
      <c r="J28" s="27"/>
      <c r="K28" s="28"/>
      <c r="L28" s="27"/>
      <c r="M28" s="28"/>
      <c r="N28" s="27"/>
      <c r="O28" s="28"/>
      <c r="P28" s="27"/>
      <c r="Q28" s="28"/>
      <c r="R28" s="27"/>
      <c r="S28" s="28"/>
      <c r="T28" s="27"/>
      <c r="U28" s="28"/>
      <c r="V28" s="27"/>
      <c r="W28" s="28"/>
      <c r="X28" s="27"/>
      <c r="Y28" s="28"/>
      <c r="Z28" s="27"/>
      <c r="AA28" s="28"/>
      <c r="AB28" s="27"/>
      <c r="AC28" s="28"/>
      <c r="AD28" s="27"/>
      <c r="AE28" s="28"/>
      <c r="AF28" s="27"/>
      <c r="AG28" s="28"/>
      <c r="AH28" s="27"/>
      <c r="AI28" s="28"/>
      <c r="AJ28" s="27"/>
      <c r="AK28" s="28"/>
      <c r="AL28" s="27"/>
      <c r="AM28" s="28"/>
      <c r="AN28" s="27"/>
      <c r="AO28" s="28"/>
      <c r="AP28" s="11" t="str">
        <f t="shared" si="0"/>
        <v/>
      </c>
      <c r="AQ28" s="31" t="str">
        <f>IFERROR(IF(AP28="", "", RANK(AP28,$AP$2:$AP$33)), "")</f>
        <v/>
      </c>
      <c r="AR28" s="35" t="str">
        <f>IF(AQ28 &lt;&gt; "", COUNTIF(AQ2:AQ33, "&gt;0") -AQ28 +1, "")</f>
        <v/>
      </c>
    </row>
    <row r="29" spans="1:44" x14ac:dyDescent="0.25">
      <c r="A29" s="23" t="str">
        <f>IF('Score joueurs'!A29="","", 'Score joueurs'!A29)</f>
        <v/>
      </c>
      <c r="B29" s="27"/>
      <c r="C29" s="28"/>
      <c r="D29" s="27"/>
      <c r="E29" s="28"/>
      <c r="F29" s="27"/>
      <c r="G29" s="28"/>
      <c r="H29" s="27"/>
      <c r="I29" s="28"/>
      <c r="J29" s="27"/>
      <c r="K29" s="28"/>
      <c r="L29" s="27"/>
      <c r="M29" s="28"/>
      <c r="N29" s="27"/>
      <c r="O29" s="28"/>
      <c r="P29" s="27"/>
      <c r="Q29" s="28"/>
      <c r="R29" s="27"/>
      <c r="S29" s="28"/>
      <c r="T29" s="27"/>
      <c r="U29" s="28"/>
      <c r="V29" s="27"/>
      <c r="W29" s="28"/>
      <c r="X29" s="27"/>
      <c r="Y29" s="28"/>
      <c r="Z29" s="27"/>
      <c r="AA29" s="28"/>
      <c r="AB29" s="27"/>
      <c r="AC29" s="28"/>
      <c r="AD29" s="27"/>
      <c r="AE29" s="28"/>
      <c r="AF29" s="27"/>
      <c r="AG29" s="28"/>
      <c r="AH29" s="27"/>
      <c r="AI29" s="28"/>
      <c r="AJ29" s="27"/>
      <c r="AK29" s="28"/>
      <c r="AL29" s="27"/>
      <c r="AM29" s="28"/>
      <c r="AN29" s="27"/>
      <c r="AO29" s="28"/>
      <c r="AP29" s="11" t="str">
        <f t="shared" si="0"/>
        <v/>
      </c>
      <c r="AQ29" s="31" t="str">
        <f>IFERROR(IF(AP29="", "", RANK(AP29,$AP$2:$AP$33)), "")</f>
        <v/>
      </c>
      <c r="AR29" s="35" t="str">
        <f>IF(AQ29 &lt;&gt; "", COUNTIF(AQ2:AQ33, "&gt;0") -AQ29 +1, "")</f>
        <v/>
      </c>
    </row>
    <row r="30" spans="1:44" x14ac:dyDescent="0.25">
      <c r="A30" s="23" t="str">
        <f>IF('Score joueurs'!A30="","", 'Score joueurs'!A30)</f>
        <v/>
      </c>
      <c r="B30" s="27"/>
      <c r="C30" s="28"/>
      <c r="D30" s="27"/>
      <c r="E30" s="28"/>
      <c r="F30" s="27"/>
      <c r="G30" s="28"/>
      <c r="H30" s="27"/>
      <c r="I30" s="28"/>
      <c r="J30" s="27"/>
      <c r="K30" s="28"/>
      <c r="L30" s="27"/>
      <c r="M30" s="28"/>
      <c r="N30" s="27"/>
      <c r="O30" s="28"/>
      <c r="P30" s="27"/>
      <c r="Q30" s="28"/>
      <c r="R30" s="27"/>
      <c r="S30" s="28"/>
      <c r="T30" s="27"/>
      <c r="U30" s="28"/>
      <c r="V30" s="27"/>
      <c r="W30" s="28"/>
      <c r="X30" s="27"/>
      <c r="Y30" s="28"/>
      <c r="Z30" s="27"/>
      <c r="AA30" s="28"/>
      <c r="AB30" s="27"/>
      <c r="AC30" s="28"/>
      <c r="AD30" s="27"/>
      <c r="AE30" s="28"/>
      <c r="AF30" s="27"/>
      <c r="AG30" s="28"/>
      <c r="AH30" s="27"/>
      <c r="AI30" s="28"/>
      <c r="AJ30" s="27"/>
      <c r="AK30" s="28"/>
      <c r="AL30" s="27"/>
      <c r="AM30" s="28"/>
      <c r="AN30" s="27"/>
      <c r="AO30" s="28"/>
      <c r="AP30" s="11" t="str">
        <f t="shared" si="0"/>
        <v/>
      </c>
      <c r="AQ30" s="31" t="str">
        <f>IFERROR(IF(AP30="", "", RANK(AP30,$AP$2:$AP$33)), "")</f>
        <v/>
      </c>
      <c r="AR30" s="35" t="str">
        <f>IF(AQ30 &lt;&gt; "", COUNTIF(AQ2:AQ33, "&gt;0") -AQ30 +1, "")</f>
        <v/>
      </c>
    </row>
    <row r="31" spans="1:44" x14ac:dyDescent="0.25">
      <c r="A31" s="43" t="str">
        <f>IF('Score joueurs'!A31="","", 'Score joueurs'!A31)</f>
        <v/>
      </c>
      <c r="B31" s="27"/>
      <c r="C31" s="28"/>
      <c r="D31" s="27"/>
      <c r="E31" s="28"/>
      <c r="F31" s="27"/>
      <c r="G31" s="28"/>
      <c r="H31" s="27"/>
      <c r="I31" s="28"/>
      <c r="J31" s="27"/>
      <c r="K31" s="28"/>
      <c r="L31" s="27"/>
      <c r="M31" s="28"/>
      <c r="N31" s="27"/>
      <c r="O31" s="28"/>
      <c r="P31" s="27"/>
      <c r="Q31" s="28"/>
      <c r="R31" s="27"/>
      <c r="S31" s="28"/>
      <c r="T31" s="27"/>
      <c r="U31" s="28"/>
      <c r="V31" s="27"/>
      <c r="W31" s="28"/>
      <c r="X31" s="27"/>
      <c r="Y31" s="28"/>
      <c r="Z31" s="27"/>
      <c r="AA31" s="28"/>
      <c r="AB31" s="27"/>
      <c r="AC31" s="28"/>
      <c r="AD31" s="27"/>
      <c r="AE31" s="28"/>
      <c r="AF31" s="27"/>
      <c r="AG31" s="28"/>
      <c r="AH31" s="27"/>
      <c r="AI31" s="28"/>
      <c r="AJ31" s="27"/>
      <c r="AK31" s="28"/>
      <c r="AL31" s="27"/>
      <c r="AM31" s="28"/>
      <c r="AN31" s="27"/>
      <c r="AO31" s="28"/>
      <c r="AP31" s="41" t="str">
        <f t="shared" si="0"/>
        <v/>
      </c>
      <c r="AQ31" s="31" t="str">
        <f t="shared" ref="AQ31:AQ33" si="1">IFERROR(IF(AP31="", "", RANK(AP31,$AP$2:$AP$33)), "")</f>
        <v/>
      </c>
      <c r="AR31" s="35" t="str">
        <f>IF(AQ31 &lt;&gt; "", COUNTIF(AQ2:AQ33, "&gt;0") -AQ31 +1, "")</f>
        <v/>
      </c>
    </row>
    <row r="32" spans="1:44" x14ac:dyDescent="0.25">
      <c r="A32" s="43" t="str">
        <f>IF('Score joueurs'!A32="","", 'Score joueurs'!A32)</f>
        <v/>
      </c>
      <c r="B32" s="27"/>
      <c r="C32" s="28"/>
      <c r="D32" s="27"/>
      <c r="E32" s="28"/>
      <c r="F32" s="27"/>
      <c r="G32" s="28"/>
      <c r="H32" s="27"/>
      <c r="I32" s="28"/>
      <c r="J32" s="27"/>
      <c r="K32" s="28"/>
      <c r="L32" s="27"/>
      <c r="M32" s="28"/>
      <c r="N32" s="27"/>
      <c r="O32" s="28"/>
      <c r="P32" s="27"/>
      <c r="Q32" s="28"/>
      <c r="R32" s="27"/>
      <c r="S32" s="28"/>
      <c r="T32" s="27"/>
      <c r="U32" s="28"/>
      <c r="V32" s="27"/>
      <c r="W32" s="28"/>
      <c r="X32" s="27"/>
      <c r="Y32" s="28"/>
      <c r="Z32" s="27"/>
      <c r="AA32" s="28"/>
      <c r="AB32" s="27"/>
      <c r="AC32" s="28"/>
      <c r="AD32" s="27"/>
      <c r="AE32" s="28"/>
      <c r="AF32" s="27"/>
      <c r="AG32" s="28"/>
      <c r="AH32" s="27"/>
      <c r="AI32" s="28"/>
      <c r="AJ32" s="27"/>
      <c r="AK32" s="28"/>
      <c r="AL32" s="27"/>
      <c r="AM32" s="28"/>
      <c r="AN32" s="27"/>
      <c r="AO32" s="28"/>
      <c r="AP32" s="41" t="str">
        <f t="shared" ref="AP32:AP33" si="2">IF(B32&gt;0, B32-C32+D32-E32+F32-G32+H32-I32+J32-K32+L32-M32+N32-O32+P32-Q32+R32-S32+T32-U32+V32-W32+X32-Y32+Z32-AA32+AB32-AC32+AD32-AE32+AF32-AG32+AH32-AI32+AJ32-AK32+AL32-AM32+AN32-AO32, "")</f>
        <v/>
      </c>
      <c r="AQ32" s="31" t="str">
        <f t="shared" si="1"/>
        <v/>
      </c>
      <c r="AR32" s="35" t="str">
        <f t="shared" ref="AR32:AR33" si="3">IF(AQ32 &lt;&gt; "", COUNTIF(AQ3:AQ34, "&gt;0") -AQ32 +1, "")</f>
        <v/>
      </c>
    </row>
    <row r="33" spans="1:44" ht="15.75" thickBot="1" x14ac:dyDescent="0.3">
      <c r="A33" s="42" t="str">
        <f>IF('Score joueurs'!A33="","", 'Score joueurs'!A33)</f>
        <v/>
      </c>
      <c r="B33" s="27"/>
      <c r="C33" s="28"/>
      <c r="D33" s="27"/>
      <c r="E33" s="28"/>
      <c r="F33" s="27"/>
      <c r="G33" s="28"/>
      <c r="H33" s="27"/>
      <c r="I33" s="28"/>
      <c r="J33" s="27"/>
      <c r="K33" s="28"/>
      <c r="L33" s="27"/>
      <c r="M33" s="28"/>
      <c r="N33" s="27"/>
      <c r="O33" s="28"/>
      <c r="P33" s="27"/>
      <c r="Q33" s="28"/>
      <c r="R33" s="27"/>
      <c r="S33" s="28"/>
      <c r="T33" s="27"/>
      <c r="U33" s="28"/>
      <c r="V33" s="27"/>
      <c r="W33" s="28"/>
      <c r="X33" s="27"/>
      <c r="Y33" s="28"/>
      <c r="Z33" s="27"/>
      <c r="AA33" s="28"/>
      <c r="AB33" s="27"/>
      <c r="AC33" s="28"/>
      <c r="AD33" s="27"/>
      <c r="AE33" s="28"/>
      <c r="AF33" s="27"/>
      <c r="AG33" s="28"/>
      <c r="AH33" s="27"/>
      <c r="AI33" s="28"/>
      <c r="AJ33" s="27"/>
      <c r="AK33" s="28"/>
      <c r="AL33" s="27"/>
      <c r="AM33" s="28"/>
      <c r="AN33" s="27"/>
      <c r="AO33" s="28"/>
      <c r="AP33" s="33" t="str">
        <f t="shared" si="2"/>
        <v/>
      </c>
      <c r="AQ33" s="31" t="str">
        <f t="shared" si="1"/>
        <v/>
      </c>
      <c r="AR33" s="35" t="str">
        <f t="shared" si="3"/>
        <v/>
      </c>
    </row>
    <row r="34" spans="1:44" ht="15.75" thickBot="1" x14ac:dyDescent="0.3">
      <c r="A34" t="s">
        <v>30</v>
      </c>
      <c r="B34" s="62" t="s">
        <v>2</v>
      </c>
      <c r="C34" s="63"/>
      <c r="D34" s="64" t="s">
        <v>3</v>
      </c>
      <c r="E34" s="65"/>
      <c r="F34" s="66" t="s">
        <v>4</v>
      </c>
      <c r="G34" s="67"/>
      <c r="H34" s="68" t="s">
        <v>5</v>
      </c>
      <c r="I34" s="69"/>
      <c r="J34" s="70" t="s">
        <v>6</v>
      </c>
      <c r="K34" s="71"/>
      <c r="L34" s="72" t="s">
        <v>7</v>
      </c>
      <c r="M34" s="73"/>
      <c r="N34" s="74" t="s">
        <v>8</v>
      </c>
      <c r="O34" s="75"/>
      <c r="P34" s="76" t="s">
        <v>9</v>
      </c>
      <c r="Q34" s="77"/>
      <c r="R34" s="78" t="s">
        <v>10</v>
      </c>
      <c r="S34" s="79"/>
      <c r="T34" s="80" t="s">
        <v>11</v>
      </c>
      <c r="U34" s="81"/>
      <c r="V34" s="82" t="s">
        <v>12</v>
      </c>
      <c r="W34" s="83"/>
      <c r="X34" s="60" t="s">
        <v>13</v>
      </c>
      <c r="Y34" s="61"/>
      <c r="Z34" s="88" t="s">
        <v>14</v>
      </c>
      <c r="AA34" s="89"/>
      <c r="AB34" s="90" t="s">
        <v>15</v>
      </c>
      <c r="AC34" s="91"/>
      <c r="AD34" s="92" t="s">
        <v>16</v>
      </c>
      <c r="AE34" s="93"/>
      <c r="AF34" s="94" t="s">
        <v>17</v>
      </c>
      <c r="AG34" s="95"/>
      <c r="AH34" s="96" t="s">
        <v>18</v>
      </c>
      <c r="AI34" s="97"/>
      <c r="AJ34" s="98" t="s">
        <v>19</v>
      </c>
      <c r="AK34" s="99"/>
      <c r="AL34" s="84" t="s">
        <v>20</v>
      </c>
      <c r="AM34" s="85"/>
      <c r="AN34" s="78" t="s">
        <v>21</v>
      </c>
      <c r="AO34" s="79"/>
      <c r="AP34" s="86"/>
      <c r="AQ34" s="87"/>
      <c r="AR34" s="34"/>
    </row>
    <row r="35" spans="1:44" x14ac:dyDescent="0.25">
      <c r="A35" t="s">
        <v>28</v>
      </c>
    </row>
    <row r="36" spans="1:44" x14ac:dyDescent="0.25">
      <c r="A36">
        <f>MIN(AP2:AP31)</f>
        <v>0</v>
      </c>
    </row>
    <row r="37" spans="1:44" x14ac:dyDescent="0.25">
      <c r="A37" t="s">
        <v>29</v>
      </c>
    </row>
    <row r="38" spans="1:44" x14ac:dyDescent="0.25">
      <c r="A38">
        <f>MAX(AP2:AP31)</f>
        <v>0</v>
      </c>
    </row>
  </sheetData>
  <mergeCells count="21">
    <mergeCell ref="AL34:AM34"/>
    <mergeCell ref="AN34:AO34"/>
    <mergeCell ref="AP34:AQ34"/>
    <mergeCell ref="Z34:AA34"/>
    <mergeCell ref="AB34:AC34"/>
    <mergeCell ref="AD34:AE34"/>
    <mergeCell ref="AF34:AG34"/>
    <mergeCell ref="AH34:AI34"/>
    <mergeCell ref="AJ34:AK34"/>
    <mergeCell ref="X34:Y34"/>
    <mergeCell ref="B34:C34"/>
    <mergeCell ref="D34:E34"/>
    <mergeCell ref="F34:G34"/>
    <mergeCell ref="H34:I34"/>
    <mergeCell ref="J34:K34"/>
    <mergeCell ref="L34:M34"/>
    <mergeCell ref="N34:O34"/>
    <mergeCell ref="P34:Q34"/>
    <mergeCell ref="R34:S34"/>
    <mergeCell ref="T34:U34"/>
    <mergeCell ref="V34:W3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</xdr:col>
                <xdr:colOff>0</xdr:colOff>
                <xdr:row>34</xdr:row>
                <xdr:rowOff>19050</xdr:rowOff>
              </from>
              <to>
                <xdr:col>7</xdr:col>
                <xdr:colOff>0</xdr:colOff>
                <xdr:row>36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86CC-7286-4F53-837D-1AA0EEA2008D}">
  <sheetPr codeName="Feuil3">
    <tabColor theme="5" tint="0.59999389629810485"/>
  </sheetPr>
  <dimension ref="A1:CF4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E37" sqref="CE37"/>
    </sheetView>
  </sheetViews>
  <sheetFormatPr baseColWidth="10" defaultColWidth="8.85546875" defaultRowHeight="15" x14ac:dyDescent="0.25"/>
  <cols>
    <col min="1" max="1" width="17.7109375" customWidth="1"/>
    <col min="2" max="81" width="4.7109375" customWidth="1"/>
    <col min="82" max="82" width="9.28515625" customWidth="1"/>
  </cols>
  <sheetData>
    <row r="1" spans="1:84" ht="15.75" thickBot="1" x14ac:dyDescent="0.3">
      <c r="A1" s="5" t="s">
        <v>0</v>
      </c>
      <c r="B1" s="36" t="s">
        <v>39</v>
      </c>
      <c r="C1" s="36" t="s">
        <v>59</v>
      </c>
      <c r="D1" s="36" t="s">
        <v>62</v>
      </c>
      <c r="E1" s="36" t="s">
        <v>60</v>
      </c>
      <c r="F1" s="53" t="s">
        <v>40</v>
      </c>
      <c r="G1" s="54" t="s">
        <v>59</v>
      </c>
      <c r="H1" s="54" t="s">
        <v>62</v>
      </c>
      <c r="I1" s="54" t="s">
        <v>60</v>
      </c>
      <c r="J1" s="36" t="s">
        <v>41</v>
      </c>
      <c r="K1" s="36" t="s">
        <v>59</v>
      </c>
      <c r="L1" s="36" t="s">
        <v>62</v>
      </c>
      <c r="M1" s="36" t="s">
        <v>60</v>
      </c>
      <c r="N1" s="53" t="s">
        <v>42</v>
      </c>
      <c r="O1" s="54" t="s">
        <v>59</v>
      </c>
      <c r="P1" s="54" t="s">
        <v>62</v>
      </c>
      <c r="Q1" s="54" t="s">
        <v>60</v>
      </c>
      <c r="R1" s="36" t="s">
        <v>43</v>
      </c>
      <c r="S1" s="36" t="s">
        <v>59</v>
      </c>
      <c r="T1" s="36" t="s">
        <v>62</v>
      </c>
      <c r="U1" s="36" t="s">
        <v>60</v>
      </c>
      <c r="V1" s="53" t="s">
        <v>44</v>
      </c>
      <c r="W1" s="54" t="s">
        <v>59</v>
      </c>
      <c r="X1" s="54" t="s">
        <v>62</v>
      </c>
      <c r="Y1" s="54" t="s">
        <v>60</v>
      </c>
      <c r="Z1" s="36" t="s">
        <v>45</v>
      </c>
      <c r="AA1" s="36" t="s">
        <v>59</v>
      </c>
      <c r="AB1" s="36" t="s">
        <v>62</v>
      </c>
      <c r="AC1" s="36" t="s">
        <v>60</v>
      </c>
      <c r="AD1" s="53" t="s">
        <v>46</v>
      </c>
      <c r="AE1" s="54" t="s">
        <v>59</v>
      </c>
      <c r="AF1" s="54" t="s">
        <v>62</v>
      </c>
      <c r="AG1" s="54" t="s">
        <v>60</v>
      </c>
      <c r="AH1" s="36" t="s">
        <v>47</v>
      </c>
      <c r="AI1" s="36" t="s">
        <v>59</v>
      </c>
      <c r="AJ1" s="36" t="s">
        <v>62</v>
      </c>
      <c r="AK1" s="36" t="s">
        <v>60</v>
      </c>
      <c r="AL1" s="53" t="s">
        <v>48</v>
      </c>
      <c r="AM1" s="54" t="s">
        <v>59</v>
      </c>
      <c r="AN1" s="54" t="s">
        <v>62</v>
      </c>
      <c r="AO1" s="54" t="s">
        <v>60</v>
      </c>
      <c r="AP1" s="36" t="s">
        <v>49</v>
      </c>
      <c r="AQ1" s="36" t="s">
        <v>59</v>
      </c>
      <c r="AR1" s="36" t="s">
        <v>62</v>
      </c>
      <c r="AS1" s="36" t="s">
        <v>60</v>
      </c>
      <c r="AT1" s="53" t="s">
        <v>50</v>
      </c>
      <c r="AU1" s="54" t="s">
        <v>59</v>
      </c>
      <c r="AV1" s="54" t="s">
        <v>62</v>
      </c>
      <c r="AW1" s="54" t="s">
        <v>60</v>
      </c>
      <c r="AX1" s="36" t="s">
        <v>51</v>
      </c>
      <c r="AY1" s="36" t="s">
        <v>59</v>
      </c>
      <c r="AZ1" s="36" t="s">
        <v>62</v>
      </c>
      <c r="BA1" s="36" t="s">
        <v>60</v>
      </c>
      <c r="BB1" s="53" t="s">
        <v>52</v>
      </c>
      <c r="BC1" s="54" t="s">
        <v>59</v>
      </c>
      <c r="BD1" s="54" t="s">
        <v>62</v>
      </c>
      <c r="BE1" s="54" t="s">
        <v>60</v>
      </c>
      <c r="BF1" s="36" t="s">
        <v>53</v>
      </c>
      <c r="BG1" s="36" t="s">
        <v>59</v>
      </c>
      <c r="BH1" s="36" t="s">
        <v>62</v>
      </c>
      <c r="BI1" s="36" t="s">
        <v>60</v>
      </c>
      <c r="BJ1" s="53" t="s">
        <v>54</v>
      </c>
      <c r="BK1" s="54" t="s">
        <v>59</v>
      </c>
      <c r="BL1" s="54" t="s">
        <v>62</v>
      </c>
      <c r="BM1" s="54" t="s">
        <v>60</v>
      </c>
      <c r="BN1" s="36" t="s">
        <v>55</v>
      </c>
      <c r="BO1" s="36" t="s">
        <v>59</v>
      </c>
      <c r="BP1" s="36" t="s">
        <v>62</v>
      </c>
      <c r="BQ1" s="36" t="s">
        <v>60</v>
      </c>
      <c r="BR1" s="53" t="s">
        <v>56</v>
      </c>
      <c r="BS1" s="54" t="s">
        <v>59</v>
      </c>
      <c r="BT1" s="54" t="s">
        <v>62</v>
      </c>
      <c r="BU1" s="54" t="s">
        <v>60</v>
      </c>
      <c r="BV1" s="36" t="s">
        <v>57</v>
      </c>
      <c r="BW1" s="36" t="s">
        <v>59</v>
      </c>
      <c r="BX1" s="36" t="s">
        <v>62</v>
      </c>
      <c r="BY1" s="36" t="s">
        <v>60</v>
      </c>
      <c r="BZ1" s="53" t="s">
        <v>58</v>
      </c>
      <c r="CA1" s="54" t="s">
        <v>59</v>
      </c>
      <c r="CB1" s="54" t="s">
        <v>62</v>
      </c>
      <c r="CC1" s="54" t="s">
        <v>60</v>
      </c>
      <c r="CD1" s="7" t="s">
        <v>22</v>
      </c>
      <c r="CE1" s="164" t="s">
        <v>61</v>
      </c>
      <c r="CF1" s="163"/>
    </row>
    <row r="2" spans="1:84" x14ac:dyDescent="0.25">
      <c r="A2" s="3" t="str">
        <f>IF('Score joueurs'!A2="","", 'Score joueurs'!A2)</f>
        <v/>
      </c>
      <c r="B2" s="37"/>
      <c r="C2" s="37"/>
      <c r="D2" s="37" t="str">
        <f>IF(COUNTIF(C2:C33,C2) &gt; 0, COUNTIF(C2:C33,C2), "")</f>
        <v/>
      </c>
      <c r="E2" s="49" t="str">
        <f>IF(C2 &lt;&gt; "",( 1-B2+D2)/D2*CE2, "")</f>
        <v/>
      </c>
      <c r="F2" s="4"/>
      <c r="G2" s="4"/>
      <c r="H2" s="4" t="str">
        <f>IF(COUNTIF(G2:G33,G2) &gt; 0, COUNTIF(G2:G33,G2), "")</f>
        <v/>
      </c>
      <c r="I2" s="51" t="str">
        <f>IF(G2 &lt;&gt; "",( 1-F2+H2)/H2*CE2, "")</f>
        <v/>
      </c>
      <c r="J2" s="37"/>
      <c r="K2" s="37"/>
      <c r="L2" s="37" t="str">
        <f>IF(COUNTIF(K2:K33,K2) &gt; 0, COUNTIF(K2:K33,K2), "")</f>
        <v/>
      </c>
      <c r="M2" s="49" t="str">
        <f>IF(K2 &lt;&gt; "",( 1-J2+L2)/L2*CE2, "")</f>
        <v/>
      </c>
      <c r="N2" s="4"/>
      <c r="O2" s="4"/>
      <c r="P2" s="4" t="str">
        <f>IF(COUNTIF(O2:O33,O2) &gt; 0, COUNTIF(O2:O33,O2), "")</f>
        <v/>
      </c>
      <c r="Q2" s="51" t="str">
        <f>IF(O2 &lt;&gt; "",( 1-N2+P2)/P2*CE2, "")</f>
        <v/>
      </c>
      <c r="R2" s="37"/>
      <c r="S2" s="37"/>
      <c r="T2" s="37" t="str">
        <f>IF(COUNTIF(S2:S33,S2) &gt; 0, COUNTIF(S2:S33,S2), "")</f>
        <v/>
      </c>
      <c r="U2" s="49" t="str">
        <f>IF(S2 &lt;&gt; "",( 1-R2+T2)/T2*CE2, "")</f>
        <v/>
      </c>
      <c r="V2" s="4"/>
      <c r="W2" s="4"/>
      <c r="X2" s="4" t="str">
        <f>IF(COUNTIF(W2:W33,W2) &gt; 0, COUNTIF(W2:W33,W2), "")</f>
        <v/>
      </c>
      <c r="Y2" s="51" t="str">
        <f>IF(W2 &lt;&gt; "",( 1-V2+X2)/X2*CE2, "")</f>
        <v/>
      </c>
      <c r="Z2" s="37"/>
      <c r="AA2" s="37"/>
      <c r="AB2" s="37" t="str">
        <f>IF(COUNTIF(AA2:AA33,AA2) &gt; 0, COUNTIF(AA2:AA33,AA2), "")</f>
        <v/>
      </c>
      <c r="AC2" s="49" t="str">
        <f>IF(AA2 &lt;&gt; "",( 1-Z2+AB2)/AB2*CE2, "")</f>
        <v/>
      </c>
      <c r="AD2" s="4"/>
      <c r="AE2" s="4"/>
      <c r="AF2" s="4" t="str">
        <f>IF(COUNTIF(AE2:AE33,AE2) &gt; 0, COUNTIF(AE2:AE33,AE2), "")</f>
        <v/>
      </c>
      <c r="AG2" s="51" t="str">
        <f>IF(AE2 &lt;&gt; "",( 1-AD2+AF2)/AF2*CE2, "")</f>
        <v/>
      </c>
      <c r="AH2" s="37"/>
      <c r="AI2" s="37"/>
      <c r="AJ2" s="37" t="str">
        <f>IF(COUNTIF(AI2:AI33,AI2) &gt; 0, COUNTIF(AI2:AI33,AI2), "")</f>
        <v/>
      </c>
      <c r="AK2" s="49" t="str">
        <f>IF(AI2 &lt;&gt; "",( 1-AH2+AJ2)/AJ2*CE2, "")</f>
        <v/>
      </c>
      <c r="AL2" s="4"/>
      <c r="AM2" s="4"/>
      <c r="AN2" s="4" t="str">
        <f>IF(COUNTIF(AM2:AM33,AM2) &gt; 0, COUNTIF(AM2:AM33,AM2), "")</f>
        <v/>
      </c>
      <c r="AO2" s="51" t="str">
        <f>IF(AM2 &lt;&gt; "",( 1-AL2+AN2)/AN2*CE2, "")</f>
        <v/>
      </c>
      <c r="AP2" s="37"/>
      <c r="AQ2" s="37"/>
      <c r="AR2" s="37" t="str">
        <f>IF(COUNTIF(AQ2:AQ33,AQ2) &gt; 0, COUNTIF(AQ2:AQ33,AQ2), "")</f>
        <v/>
      </c>
      <c r="AS2" s="49" t="str">
        <f>IF(AQ2 &lt;&gt; "",( 1-AP2+AR2)/AR2*CE2, "")</f>
        <v/>
      </c>
      <c r="AT2" s="4"/>
      <c r="AU2" s="4"/>
      <c r="AV2" s="4" t="str">
        <f>IF(COUNTIF(AU2:AU33,AU2) &gt; 0, COUNTIF(AU2:AU33,AU2), "")</f>
        <v/>
      </c>
      <c r="AW2" s="51" t="str">
        <f>IF(AU2 &lt;&gt; "",( 1-AT2+AV2)/AV2*CE2, "")</f>
        <v/>
      </c>
      <c r="AX2" s="37"/>
      <c r="AY2" s="37"/>
      <c r="AZ2" s="37" t="str">
        <f>IF(COUNTIF(AY2:AY33,AY2) &gt; 0, COUNTIF(AY2:AY33,AY2), "")</f>
        <v/>
      </c>
      <c r="BA2" s="49" t="str">
        <f>IF(AY2 &lt;&gt; "",( 1-AX2+AZ2)/AZ2*CE2, "")</f>
        <v/>
      </c>
      <c r="BB2" s="4"/>
      <c r="BC2" s="4"/>
      <c r="BD2" s="4" t="str">
        <f>IF(COUNTIF(BC2:BC33,BC2) &gt; 0, COUNTIF(BC2:BC33,BC2), "")</f>
        <v/>
      </c>
      <c r="BE2" s="51" t="str">
        <f>IF(BC2 &lt;&gt; "",( 1-BB2+BD2)/BD2*CE2, "")</f>
        <v/>
      </c>
      <c r="BF2" s="37"/>
      <c r="BG2" s="37"/>
      <c r="BH2" s="37" t="str">
        <f>IF(COUNTIF(BG2:BG33,BG2) &gt; 0, COUNTIF(BG2:BG33,BG2), "")</f>
        <v/>
      </c>
      <c r="BI2" s="49" t="str">
        <f>IF(BG2 &lt;&gt; "",( 1-BF2+BH2)/BH2*CE2, "")</f>
        <v/>
      </c>
      <c r="BJ2" s="4"/>
      <c r="BK2" s="4"/>
      <c r="BL2" s="4" t="str">
        <f>IF(COUNTIF(BK2:BK33,BK2) &gt; 0, COUNTIF(BK2:BK33,BK2), "")</f>
        <v/>
      </c>
      <c r="BM2" s="51" t="str">
        <f>IF(BK2 &lt;&gt; "",( 1-BJ2+BL2)/BL2*CE2, "")</f>
        <v/>
      </c>
      <c r="BN2" s="37"/>
      <c r="BO2" s="37"/>
      <c r="BP2" s="37" t="str">
        <f>IF(COUNTIF(BO2:BO33,BO2) &gt; 0, COUNTIF(BO2:BO33,BO2), "")</f>
        <v/>
      </c>
      <c r="BQ2" s="49" t="str">
        <f>IF(BO2 &lt;&gt; "",( 1-BN2+BP2)/BP2*CE2, "")</f>
        <v/>
      </c>
      <c r="BR2" s="4"/>
      <c r="BS2" s="4"/>
      <c r="BT2" s="4" t="str">
        <f>IF(COUNTIF(BS2:BS33,BS2) &gt; 0, COUNTIF(BS2:BS33,BS2), "")</f>
        <v/>
      </c>
      <c r="BU2" s="51" t="str">
        <f>IF(BS2 &lt;&gt; "",( 1-BR2+BT2)/BT2*CE2, "")</f>
        <v/>
      </c>
      <c r="BV2" s="37"/>
      <c r="BW2" s="37"/>
      <c r="BX2" s="37" t="str">
        <f>IF(COUNTIF(BW2:BW33,BW2) &gt; 0, COUNTIF(BW2:BW33,BW2), "")</f>
        <v/>
      </c>
      <c r="BY2" s="49" t="str">
        <f>IF(BW2 &lt;&gt; "",( 1-BV2+BX2)/BX2*CE2, "")</f>
        <v/>
      </c>
      <c r="BZ2" s="4"/>
      <c r="CA2" s="4"/>
      <c r="CB2" s="4" t="str">
        <f>IF(COUNTIF(CA2:CA33,CA2) &gt; 0, COUNTIF(CA2:CA33,CA2), "")</f>
        <v/>
      </c>
      <c r="CC2" s="51" t="str">
        <f>IF(CA2 &lt;&gt; "",( 1-BZ2+CB2)/CB2*CE2, "")</f>
        <v/>
      </c>
      <c r="CD2" s="6" t="str">
        <f>IF(AND(COUNT(B2)&gt;0, COUNTA(B2)=COLUMNS(B2)), ROUND(AVERAGE(E2,I2,M2,Q2,U2,Y2,AC2,AG2,AK2,AO2,AS2,AW2,BA2,BE2,BI2,BM2,BQ2,BU2,BY2,CC2), 2), "")</f>
        <v/>
      </c>
      <c r="CE2" s="46">
        <f>32-(COUNTIF(A2:A33,""))</f>
        <v>0</v>
      </c>
    </row>
    <row r="3" spans="1:84" x14ac:dyDescent="0.25">
      <c r="A3" s="2" t="str">
        <f>IF('Score joueurs'!A3="","", 'Score joueurs'!A3)</f>
        <v/>
      </c>
      <c r="B3" s="38"/>
      <c r="C3" s="38"/>
      <c r="D3" s="37" t="str">
        <f>IF(COUNTIF(C2:C33,C3) &gt; 0, COUNTIF(C2:C33,C3), "")</f>
        <v/>
      </c>
      <c r="E3" s="49" t="str">
        <f t="shared" ref="E3:E33" si="0">IF(C3 &lt;&gt; "",( 1-B3+D3)/D3*CE3, "")</f>
        <v/>
      </c>
      <c r="F3" s="1"/>
      <c r="G3" s="1"/>
      <c r="H3" s="4" t="str">
        <f>IF(COUNTIF(G2:G33,G3) &gt; 0, COUNTIF(G2:G33,G3), "")</f>
        <v/>
      </c>
      <c r="I3" s="51" t="str">
        <f t="shared" ref="I3:I33" si="1">IF(G3 &lt;&gt; "",( 1-F3+H3)/H3*CE3, "")</f>
        <v/>
      </c>
      <c r="J3" s="38"/>
      <c r="K3" s="38"/>
      <c r="L3" s="37" t="str">
        <f>IF(COUNTIF(K2:K33,K3) &gt; 0, COUNTIF(K2:K33,K3), "")</f>
        <v/>
      </c>
      <c r="M3" s="49" t="str">
        <f t="shared" ref="M3:M33" si="2">IF(K3 &lt;&gt; "",( 1-J3+L3)/L3*CE3, "")</f>
        <v/>
      </c>
      <c r="N3" s="1"/>
      <c r="O3" s="1"/>
      <c r="P3" s="4" t="str">
        <f>IF(COUNTIF(O2:O33,O3) &gt; 0, COUNTIF(O2:O33,O3), "")</f>
        <v/>
      </c>
      <c r="Q3" s="51" t="str">
        <f t="shared" ref="Q3:Q33" si="3">IF(O3 &lt;&gt; "",( 1-N3+P3)/P3*CE3, "")</f>
        <v/>
      </c>
      <c r="R3" s="38"/>
      <c r="S3" s="38"/>
      <c r="T3" s="37" t="str">
        <f>IF(COUNTIF(S2:S33,S3) &gt; 0, COUNTIF(S2:S33,S3), "")</f>
        <v/>
      </c>
      <c r="U3" s="49" t="str">
        <f t="shared" ref="U3:U33" si="4">IF(S3 &lt;&gt; "",( 1-R3+T3)/T3*CE3, "")</f>
        <v/>
      </c>
      <c r="V3" s="1"/>
      <c r="W3" s="1"/>
      <c r="X3" s="4" t="str">
        <f>IF(COUNTIF(W2:W33,W3) &gt; 0, COUNTIF(W2:W33,W3), "")</f>
        <v/>
      </c>
      <c r="Y3" s="51" t="str">
        <f t="shared" ref="Y3:Y33" si="5">IF(W3 &lt;&gt; "",( 1-V3+X3)/X3*CE3, "")</f>
        <v/>
      </c>
      <c r="Z3" s="38"/>
      <c r="AA3" s="38"/>
      <c r="AB3" s="37" t="str">
        <f>IF(COUNTIF(AA2:AA33,AA3) &gt; 0, COUNTIF(AA2:AA33,AA3), "")</f>
        <v/>
      </c>
      <c r="AC3" s="49" t="str">
        <f t="shared" ref="AC3:AC33" si="6">IF(AA3 &lt;&gt; "",( 1-Z3+AB3)/AB3*CE3, "")</f>
        <v/>
      </c>
      <c r="AD3" s="1"/>
      <c r="AE3" s="1"/>
      <c r="AF3" s="4" t="str">
        <f>IF(COUNTIF(AE2:AE33,AE3) &gt; 0, COUNTIF(AE2:AE33,AE3), "")</f>
        <v/>
      </c>
      <c r="AG3" s="51" t="str">
        <f t="shared" ref="AG3:AG32" si="7">IF(AE3 &lt;&gt; "",( 1-AD3+AF3)/AF3*CE3, "")</f>
        <v/>
      </c>
      <c r="AH3" s="38"/>
      <c r="AI3" s="38"/>
      <c r="AJ3" s="37" t="str">
        <f>IF(COUNTIF(AI2:AI33,AI3) &gt; 0, COUNTIF(AI2:AI33,AI3), "")</f>
        <v/>
      </c>
      <c r="AK3" s="49" t="str">
        <f t="shared" ref="AK3:AK33" si="8">IF(AI3 &lt;&gt; "",( 1-AH3+AJ3)/AJ3*CE3, "")</f>
        <v/>
      </c>
      <c r="AL3" s="1"/>
      <c r="AM3" s="1"/>
      <c r="AN3" s="4" t="str">
        <f>IF(COUNTIF(AM2:AM33,AM3) &gt; 0, COUNTIF(AM2:AM33,AM3), "")</f>
        <v/>
      </c>
      <c r="AO3" s="51" t="str">
        <f t="shared" ref="AO3:AO33" si="9">IF(AM3 &lt;&gt; "",( 1-AL3+AN3)/AN3*CE3, "")</f>
        <v/>
      </c>
      <c r="AP3" s="38"/>
      <c r="AQ3" s="38"/>
      <c r="AR3" s="37" t="str">
        <f>IF(COUNTIF(AQ2:AQ33,AQ3) &gt; 0, COUNTIF(AQ2:AQ33,AQ3), "")</f>
        <v/>
      </c>
      <c r="AS3" s="49" t="str">
        <f t="shared" ref="AS3:AS33" si="10">IF(AQ3 &lt;&gt; "",( 1-AP3+AR3)/AR3*CE3, "")</f>
        <v/>
      </c>
      <c r="AT3" s="1"/>
      <c r="AU3" s="1"/>
      <c r="AV3" s="4" t="str">
        <f>IF(COUNTIF(AU2:AU33,AU3) &gt; 0, COUNTIF(AU2:AU33,AU3), "")</f>
        <v/>
      </c>
      <c r="AW3" s="51" t="str">
        <f t="shared" ref="AW3:AW33" si="11">IF(AU3 &lt;&gt; "",( 1-AT3+AV3)/AV3*CE3, "")</f>
        <v/>
      </c>
      <c r="AX3" s="38"/>
      <c r="AY3" s="38"/>
      <c r="AZ3" s="37" t="str">
        <f>IF(COUNTIF(AY2:AY33,AY3) &gt; 0, COUNTIF(AY2:AY33,AY3), "")</f>
        <v/>
      </c>
      <c r="BA3" s="49" t="str">
        <f t="shared" ref="BA3:BA33" si="12">IF(AY3 &lt;&gt; "",( 1-AX3+AZ3)/AZ3*CE3, "")</f>
        <v/>
      </c>
      <c r="BB3" s="1"/>
      <c r="BC3" s="1"/>
      <c r="BD3" s="4" t="str">
        <f>IF(COUNTIF(BC2:BC33,BC3) &gt; 0, COUNTIF(BC2:BC33,BC3), "")</f>
        <v/>
      </c>
      <c r="BE3" s="51" t="str">
        <f t="shared" ref="BE3:BE33" si="13">IF(BC3 &lt;&gt; "",( 1-BB3+BD3)/BD3*CE3, "")</f>
        <v/>
      </c>
      <c r="BF3" s="38"/>
      <c r="BG3" s="38"/>
      <c r="BH3" s="37" t="str">
        <f>IF(COUNTIF(BG2:BG33,BG3) &gt; 0, COUNTIF(BG2:BG33,BG3), "")</f>
        <v/>
      </c>
      <c r="BI3" s="49" t="str">
        <f t="shared" ref="BI3:BI33" si="14">IF(BG3 &lt;&gt; "",( 1-BF3+BH3)/BH3*CE3, "")</f>
        <v/>
      </c>
      <c r="BJ3" s="1"/>
      <c r="BK3" s="1"/>
      <c r="BL3" s="4" t="str">
        <f>IF(COUNTIF(BK2:BK33,BK3) &gt; 0, COUNTIF(BK2:BK33,BK3), "")</f>
        <v/>
      </c>
      <c r="BM3" s="51" t="str">
        <f t="shared" ref="BM3:BM33" si="15">IF(BK3 &lt;&gt; "",( 1-BJ3+BL3)/BL3*CE3, "")</f>
        <v/>
      </c>
      <c r="BN3" s="38"/>
      <c r="BO3" s="38"/>
      <c r="BP3" s="37" t="str">
        <f>IF(COUNTIF(BO2:BO33,BO3) &gt; 0, COUNTIF(BO2:BO33,BO3), "")</f>
        <v/>
      </c>
      <c r="BQ3" s="49" t="str">
        <f t="shared" ref="BQ3:BQ33" si="16">IF(BO3 &lt;&gt; "",( 1-BN3+BP3)/BP3*CE3, "")</f>
        <v/>
      </c>
      <c r="BR3" s="1"/>
      <c r="BS3" s="1"/>
      <c r="BT3" s="4" t="str">
        <f>IF(COUNTIF(BS2:BS33,BS3) &gt; 0, COUNTIF(BS2:BS33,BS3), "")</f>
        <v/>
      </c>
      <c r="BU3" s="51" t="str">
        <f t="shared" ref="BU3:BU33" si="17">IF(BS3 &lt;&gt; "",( 1-BR3+BT3)/BT3*EU3, "")</f>
        <v/>
      </c>
      <c r="BV3" s="38"/>
      <c r="BW3" s="38"/>
      <c r="BX3" s="37" t="str">
        <f>IF(COUNTIF(BW2:BW33,BW3) &gt; 0, COUNTIF(BW2:BW33,BW3), "")</f>
        <v/>
      </c>
      <c r="BY3" s="49" t="str">
        <f t="shared" ref="BY3:BY33" si="18">IF(BW3 &lt;&gt; "",( 1-BV3+BX3)/BX3*CE3, "")</f>
        <v/>
      </c>
      <c r="BZ3" s="1"/>
      <c r="CA3" s="1"/>
      <c r="CB3" s="4" t="str">
        <f>IF(COUNTIF(CA2:CA33,CA3) &gt; 0, COUNTIF(CA2:CA33,CA3), "")</f>
        <v/>
      </c>
      <c r="CC3" s="51" t="str">
        <f t="shared" ref="CC3:CC32" si="19">IF(CA3 &lt;&gt; "",( 1-BZ3+CB3)/CB3*CE3, "")</f>
        <v/>
      </c>
      <c r="CD3" s="6" t="str">
        <f t="shared" ref="CD3:CD33" si="20">IF(AND(COUNT(B3)&gt;0, COUNTA(B3)=COLUMNS(B3)), ROUND(AVERAGE(E3,I3,M3,Q3,U3,Y3,AC3,AG3,AK3,AO3,AS3,AW3,BA3,BE3,BI3,BM3,BQ3,BU3,BY3,CC3), 2), "")</f>
        <v/>
      </c>
      <c r="CE3" s="46">
        <f>32-(COUNTIF(A2:A33,""))</f>
        <v>0</v>
      </c>
    </row>
    <row r="4" spans="1:84" x14ac:dyDescent="0.25">
      <c r="A4" s="2" t="str">
        <f>IF('Score joueurs'!A4="","", 'Score joueurs'!A4)</f>
        <v/>
      </c>
      <c r="B4" s="37"/>
      <c r="C4" s="37"/>
      <c r="D4" s="37" t="str">
        <f>IF(COUNTIF(C2:C33,C4) &gt; 0, COUNTIF(C2:C33,C4), "")</f>
        <v/>
      </c>
      <c r="E4" s="49" t="str">
        <f t="shared" si="0"/>
        <v/>
      </c>
      <c r="F4" s="4"/>
      <c r="G4" s="4"/>
      <c r="H4" s="4" t="str">
        <f>IF(COUNTIF(G2:G33,G4) &gt; 0, COUNTIF(G2:G33,G4), "")</f>
        <v/>
      </c>
      <c r="I4" s="51" t="str">
        <f t="shared" si="1"/>
        <v/>
      </c>
      <c r="J4" s="37"/>
      <c r="K4" s="37"/>
      <c r="L4" s="37" t="str">
        <f>IF(COUNTIF(K2:K33,K4) &gt; 0, COUNTIF(K2:K33,K4), "")</f>
        <v/>
      </c>
      <c r="M4" s="49" t="str">
        <f t="shared" si="2"/>
        <v/>
      </c>
      <c r="N4" s="4"/>
      <c r="O4" s="4"/>
      <c r="P4" s="4" t="str">
        <f>IF(COUNTIF(O2:O33,O4) &gt; 0, COUNTIF(O2:O33,O4), "")</f>
        <v/>
      </c>
      <c r="Q4" s="51" t="str">
        <f t="shared" si="3"/>
        <v/>
      </c>
      <c r="R4" s="37"/>
      <c r="S4" s="37"/>
      <c r="T4" s="37" t="str">
        <f>IF(COUNTIF(S2:S33,S4) &gt; 0, COUNTIF(S2:S33,S4), "")</f>
        <v/>
      </c>
      <c r="U4" s="49" t="str">
        <f t="shared" si="4"/>
        <v/>
      </c>
      <c r="V4" s="4"/>
      <c r="W4" s="4"/>
      <c r="X4" s="4" t="str">
        <f>IF(COUNTIF(W2:W33,W4) &gt; 0, COUNTIF(W2:W33,W4), "")</f>
        <v/>
      </c>
      <c r="Y4" s="51" t="str">
        <f t="shared" si="5"/>
        <v/>
      </c>
      <c r="Z4" s="37"/>
      <c r="AA4" s="37"/>
      <c r="AB4" s="37" t="str">
        <f>IF(COUNTIF(AA2:AA33,AA4) &gt; 0, COUNTIF(AA2:AA33,AA4), "")</f>
        <v/>
      </c>
      <c r="AC4" s="49" t="str">
        <f t="shared" si="6"/>
        <v/>
      </c>
      <c r="AD4" s="4"/>
      <c r="AE4" s="4"/>
      <c r="AF4" s="4" t="str">
        <f>IF(COUNTIF(AE2:AE33,AE4) &gt; 0, COUNTIF(AE2:AE33,AE4), "")</f>
        <v/>
      </c>
      <c r="AG4" s="51" t="str">
        <f t="shared" si="7"/>
        <v/>
      </c>
      <c r="AH4" s="37"/>
      <c r="AI4" s="37"/>
      <c r="AJ4" s="37" t="str">
        <f>IF(COUNTIF(AI2:AI33,AI4) &gt; 0, COUNTIF(AI2:AI33,AI4), "")</f>
        <v/>
      </c>
      <c r="AK4" s="49" t="str">
        <f t="shared" si="8"/>
        <v/>
      </c>
      <c r="AL4" s="4"/>
      <c r="AM4" s="4"/>
      <c r="AN4" s="4" t="str">
        <f>IF(COUNTIF(AM2:AM33,AM4) &gt; 0, COUNTIF(AM2:AM33,AM4), "")</f>
        <v/>
      </c>
      <c r="AO4" s="51" t="str">
        <f t="shared" si="9"/>
        <v/>
      </c>
      <c r="AP4" s="37"/>
      <c r="AQ4" s="37"/>
      <c r="AR4" s="37" t="str">
        <f>IF(COUNTIF(AQ2:AQ33,AQ4) &gt; 0, COUNTIF(AQ2:AQ33,AQ4), "")</f>
        <v/>
      </c>
      <c r="AS4" s="49" t="str">
        <f t="shared" si="10"/>
        <v/>
      </c>
      <c r="AT4" s="4"/>
      <c r="AU4" s="4"/>
      <c r="AV4" s="4" t="str">
        <f>IF(COUNTIF(AU2:AU33,AU4) &gt; 0, COUNTIF(AU2:AU33,AU4), "")</f>
        <v/>
      </c>
      <c r="AW4" s="51" t="str">
        <f t="shared" si="11"/>
        <v/>
      </c>
      <c r="AX4" s="37"/>
      <c r="AY4" s="37"/>
      <c r="AZ4" s="37" t="str">
        <f>IF(COUNTIF(AY2:AY33,AY4) &gt; 0, COUNTIF(AY2:AY33,AY4), "")</f>
        <v/>
      </c>
      <c r="BA4" s="49" t="str">
        <f t="shared" si="12"/>
        <v/>
      </c>
      <c r="BB4" s="4"/>
      <c r="BC4" s="4"/>
      <c r="BD4" s="4" t="str">
        <f>IF(COUNTIF(BC2:BC33,BC4) &gt; 0, COUNTIF(BC2:BC33,BC4), "")</f>
        <v/>
      </c>
      <c r="BE4" s="51" t="str">
        <f t="shared" si="13"/>
        <v/>
      </c>
      <c r="BF4" s="37"/>
      <c r="BG4" s="37"/>
      <c r="BH4" s="37" t="str">
        <f>IF(COUNTIF(BG2:BG33,BG4) &gt; 0, COUNTIF(BG2:BG33,BG4), "")</f>
        <v/>
      </c>
      <c r="BI4" s="49" t="str">
        <f t="shared" si="14"/>
        <v/>
      </c>
      <c r="BJ4" s="4"/>
      <c r="BK4" s="4"/>
      <c r="BL4" s="4" t="str">
        <f>IF(COUNTIF(BK2:BK33,BK4) &gt; 0, COUNTIF(BK2:BK33,BK4), "")</f>
        <v/>
      </c>
      <c r="BM4" s="51" t="str">
        <f t="shared" si="15"/>
        <v/>
      </c>
      <c r="BN4" s="37"/>
      <c r="BO4" s="37"/>
      <c r="BP4" s="37" t="str">
        <f>IF(COUNTIF(BO2:BO33,BO4) &gt; 0, COUNTIF(BO2:BO33,BO4), "")</f>
        <v/>
      </c>
      <c r="BQ4" s="49" t="str">
        <f t="shared" si="16"/>
        <v/>
      </c>
      <c r="BR4" s="4"/>
      <c r="BS4" s="4"/>
      <c r="BT4" s="4" t="str">
        <f>IF(COUNTIF(BS2:BS33,BS4) &gt; 0, COUNTIF(BS2:BS33,BS4), "")</f>
        <v/>
      </c>
      <c r="BU4" s="51" t="str">
        <f t="shared" si="17"/>
        <v/>
      </c>
      <c r="BV4" s="37"/>
      <c r="BW4" s="37"/>
      <c r="BX4" s="37" t="str">
        <f>IF(COUNTIF(BW2:BW33,BW4) &gt; 0, COUNTIF(BW2:BW33,BW4), "")</f>
        <v/>
      </c>
      <c r="BY4" s="49" t="str">
        <f t="shared" si="18"/>
        <v/>
      </c>
      <c r="BZ4" s="4"/>
      <c r="CA4" s="4"/>
      <c r="CB4" s="4" t="str">
        <f>IF(COUNTIF(CA2:CA33,CA4) &gt; 0, COUNTIF(CA2:CA33,CA4), "")</f>
        <v/>
      </c>
      <c r="CC4" s="51" t="str">
        <f t="shared" si="19"/>
        <v/>
      </c>
      <c r="CD4" s="6" t="str">
        <f t="shared" si="20"/>
        <v/>
      </c>
      <c r="CE4" s="46">
        <f>32-(COUNTIF(A2:A33,""))</f>
        <v>0</v>
      </c>
    </row>
    <row r="5" spans="1:84" x14ac:dyDescent="0.25">
      <c r="A5" s="2" t="str">
        <f>IF('Score joueurs'!A5="","", 'Score joueurs'!A5)</f>
        <v/>
      </c>
      <c r="B5" s="37"/>
      <c r="C5" s="37"/>
      <c r="D5" s="37" t="str">
        <f>IF(COUNTIF(C2:C33,C5) &gt; 0, COUNTIF(C2:C33,C5), "")</f>
        <v/>
      </c>
      <c r="E5" s="49" t="str">
        <f t="shared" si="0"/>
        <v/>
      </c>
      <c r="F5" s="1"/>
      <c r="G5" s="1"/>
      <c r="H5" s="4" t="str">
        <f>IF(COUNTIF(G2:G33,G5) &gt; 0, COUNTIF(G2:G33,G5), "")</f>
        <v/>
      </c>
      <c r="I5" s="51" t="str">
        <f t="shared" si="1"/>
        <v/>
      </c>
      <c r="J5" s="38"/>
      <c r="K5" s="38"/>
      <c r="L5" s="37" t="str">
        <f>IF(COUNTIF(K2:K33,K5) &gt; 0, COUNTIF(K2:K33,K5), "")</f>
        <v/>
      </c>
      <c r="M5" s="49" t="str">
        <f t="shared" si="2"/>
        <v/>
      </c>
      <c r="N5" s="1"/>
      <c r="O5" s="1"/>
      <c r="P5" s="4" t="str">
        <f>IF(COUNTIF(O2:O33,O5) &gt; 0, COUNTIF(O2:O33,O5), "")</f>
        <v/>
      </c>
      <c r="Q5" s="51" t="str">
        <f t="shared" si="3"/>
        <v/>
      </c>
      <c r="R5" s="38"/>
      <c r="S5" s="38"/>
      <c r="T5" s="37" t="str">
        <f>IF(COUNTIF(S2:S33,S5) &gt; 0, COUNTIF(S2:S33,S5), "")</f>
        <v/>
      </c>
      <c r="U5" s="49" t="str">
        <f t="shared" si="4"/>
        <v/>
      </c>
      <c r="V5" s="1"/>
      <c r="W5" s="1"/>
      <c r="X5" s="4" t="str">
        <f>IF(COUNTIF(W2:W33,W5) &gt; 0, COUNTIF(W2:W33,W5), "")</f>
        <v/>
      </c>
      <c r="Y5" s="51" t="str">
        <f t="shared" si="5"/>
        <v/>
      </c>
      <c r="Z5" s="38"/>
      <c r="AA5" s="38"/>
      <c r="AB5" s="37" t="str">
        <f>IF(COUNTIF(AA2:AA33,AA5) &gt; 0, COUNTIF(AA2:AA33,AA5), "")</f>
        <v/>
      </c>
      <c r="AC5" s="49" t="str">
        <f t="shared" si="6"/>
        <v/>
      </c>
      <c r="AD5" s="1"/>
      <c r="AE5" s="1"/>
      <c r="AF5" s="4" t="str">
        <f>IF(COUNTIF(AE2:AE33,AE5) &gt; 0, COUNTIF(AE2:AE33,AE5), "")</f>
        <v/>
      </c>
      <c r="AG5" s="51" t="str">
        <f t="shared" si="7"/>
        <v/>
      </c>
      <c r="AH5" s="38"/>
      <c r="AI5" s="38"/>
      <c r="AJ5" s="37" t="str">
        <f>IF(COUNTIF(AI2:AI33,AI5) &gt; 0, COUNTIF(AI2:AI33,AI5), "")</f>
        <v/>
      </c>
      <c r="AK5" s="49" t="str">
        <f t="shared" si="8"/>
        <v/>
      </c>
      <c r="AL5" s="1"/>
      <c r="AM5" s="1"/>
      <c r="AN5" s="4" t="str">
        <f>IF(COUNTIF(AM2:AM33,AM5) &gt; 0, COUNTIF(AM2:AM33,AM5), "")</f>
        <v/>
      </c>
      <c r="AO5" s="51" t="str">
        <f t="shared" si="9"/>
        <v/>
      </c>
      <c r="AP5" s="38"/>
      <c r="AQ5" s="38"/>
      <c r="AR5" s="37" t="str">
        <f>IF(COUNTIF(AQ2:AQ33,AQ5) &gt; 0, COUNTIF(AQ2:AQ33,AQ5), "")</f>
        <v/>
      </c>
      <c r="AS5" s="49" t="str">
        <f t="shared" si="10"/>
        <v/>
      </c>
      <c r="AT5" s="1"/>
      <c r="AU5" s="1"/>
      <c r="AV5" s="4" t="str">
        <f>IF(COUNTIF(AU2:AU33,AU5) &gt; 0, COUNTIF(AU2:AU33,AU5), "")</f>
        <v/>
      </c>
      <c r="AW5" s="51" t="str">
        <f t="shared" si="11"/>
        <v/>
      </c>
      <c r="AX5" s="38"/>
      <c r="AY5" s="38"/>
      <c r="AZ5" s="37" t="str">
        <f>IF(COUNTIF(AY2:AY33,AY5) &gt; 0, COUNTIF(AY2:AY33,AY5), "")</f>
        <v/>
      </c>
      <c r="BA5" s="49" t="str">
        <f t="shared" si="12"/>
        <v/>
      </c>
      <c r="BB5" s="1"/>
      <c r="BC5" s="1"/>
      <c r="BD5" s="4" t="str">
        <f>IF(COUNTIF(BC2:BC33,BC5) &gt; 0, COUNTIF(BC2:BC33,BC5), "")</f>
        <v/>
      </c>
      <c r="BE5" s="51" t="str">
        <f t="shared" si="13"/>
        <v/>
      </c>
      <c r="BF5" s="38"/>
      <c r="BG5" s="38"/>
      <c r="BH5" s="37" t="str">
        <f>IF(COUNTIF(BG2:BG33,BG5) &gt; 0, COUNTIF(BG2:BG33,BG5), "")</f>
        <v/>
      </c>
      <c r="BI5" s="49" t="str">
        <f t="shared" si="14"/>
        <v/>
      </c>
      <c r="BJ5" s="1"/>
      <c r="BK5" s="1"/>
      <c r="BL5" s="4" t="str">
        <f>IF(COUNTIF(BK2:BK33,BK5) &gt; 0, COUNTIF(BK2:BK33,BK5), "")</f>
        <v/>
      </c>
      <c r="BM5" s="51" t="str">
        <f t="shared" si="15"/>
        <v/>
      </c>
      <c r="BN5" s="38"/>
      <c r="BO5" s="38"/>
      <c r="BP5" s="37" t="str">
        <f>IF(COUNTIF(BO2:BO33,BO5) &gt; 0, COUNTIF(BO2:BO33,BO5), "")</f>
        <v/>
      </c>
      <c r="BQ5" s="49" t="str">
        <f t="shared" si="16"/>
        <v/>
      </c>
      <c r="BR5" s="1"/>
      <c r="BS5" s="1"/>
      <c r="BT5" s="4" t="str">
        <f>IF(COUNTIF(BS2:BS33,BS5) &gt; 0, COUNTIF(BS2:BS33,BS5), "")</f>
        <v/>
      </c>
      <c r="BU5" s="51" t="str">
        <f t="shared" si="17"/>
        <v/>
      </c>
      <c r="BV5" s="38"/>
      <c r="BW5" s="38"/>
      <c r="BX5" s="37" t="str">
        <f>IF(COUNTIF(BW2:BW33,BW5) &gt; 0, COUNTIF(BW2:BW33,BW5), "")</f>
        <v/>
      </c>
      <c r="BY5" s="49" t="str">
        <f t="shared" si="18"/>
        <v/>
      </c>
      <c r="BZ5" s="1"/>
      <c r="CA5" s="1"/>
      <c r="CB5" s="4" t="str">
        <f>IF(COUNTIF(CA2:CA33,CA5) &gt; 0, COUNTIF(CA2:CA33,CA5), "")</f>
        <v/>
      </c>
      <c r="CC5" s="51" t="str">
        <f t="shared" si="19"/>
        <v/>
      </c>
      <c r="CD5" s="6" t="str">
        <f t="shared" si="20"/>
        <v/>
      </c>
      <c r="CE5" s="46">
        <f>32-(COUNTIF(A2:A33,""))</f>
        <v>0</v>
      </c>
    </row>
    <row r="6" spans="1:84" x14ac:dyDescent="0.25">
      <c r="A6" s="2" t="str">
        <f>IF('Score joueurs'!A6="","", 'Score joueurs'!A6)</f>
        <v/>
      </c>
      <c r="B6" s="38"/>
      <c r="C6" s="38"/>
      <c r="D6" s="37" t="str">
        <f>IF(COUNTIF(C2:C33,C6) &gt; 0, COUNTIF(C2:C33,C6), "")</f>
        <v/>
      </c>
      <c r="E6" s="49" t="str">
        <f t="shared" si="0"/>
        <v/>
      </c>
      <c r="F6" s="4"/>
      <c r="G6" s="4"/>
      <c r="H6" s="4" t="str">
        <f>IF(COUNTIF(G2:G33,G6) &gt; 0, COUNTIF(G2:G33,G6), "")</f>
        <v/>
      </c>
      <c r="I6" s="51" t="str">
        <f t="shared" si="1"/>
        <v/>
      </c>
      <c r="J6" s="37"/>
      <c r="K6" s="37"/>
      <c r="L6" s="37" t="str">
        <f>IF(COUNTIF(K2:K33,K6) &gt; 0, COUNTIF(K2:K33,K6), "")</f>
        <v/>
      </c>
      <c r="M6" s="49" t="str">
        <f t="shared" si="2"/>
        <v/>
      </c>
      <c r="N6" s="4"/>
      <c r="O6" s="4"/>
      <c r="P6" s="4" t="str">
        <f>IF(COUNTIF(O2:O33,O6) &gt; 0, COUNTIF(O2:O33,O6), "")</f>
        <v/>
      </c>
      <c r="Q6" s="51" t="str">
        <f t="shared" si="3"/>
        <v/>
      </c>
      <c r="R6" s="37"/>
      <c r="S6" s="37"/>
      <c r="T6" s="37" t="str">
        <f>IF(COUNTIF(S2:S33,S6) &gt; 0, COUNTIF(S2:S33,S6), "")</f>
        <v/>
      </c>
      <c r="U6" s="49" t="str">
        <f t="shared" si="4"/>
        <v/>
      </c>
      <c r="V6" s="4"/>
      <c r="W6" s="4"/>
      <c r="X6" s="4" t="str">
        <f>IF(COUNTIF(W2:W33,W6) &gt; 0, COUNTIF(W2:W33,W6), "")</f>
        <v/>
      </c>
      <c r="Y6" s="51" t="str">
        <f t="shared" si="5"/>
        <v/>
      </c>
      <c r="Z6" s="37"/>
      <c r="AA6" s="37"/>
      <c r="AB6" s="37" t="str">
        <f>IF(COUNTIF(AA2:AA33,AA6) &gt; 0, COUNTIF(AA2:AA33,AA6), "")</f>
        <v/>
      </c>
      <c r="AC6" s="49" t="str">
        <f t="shared" si="6"/>
        <v/>
      </c>
      <c r="AD6" s="4"/>
      <c r="AE6" s="4"/>
      <c r="AF6" s="4" t="str">
        <f>IF(COUNTIF(AE2:AE33,AE6) &gt; 0, COUNTIF(AE2:AE33,AE6), "")</f>
        <v/>
      </c>
      <c r="AG6" s="51" t="str">
        <f t="shared" si="7"/>
        <v/>
      </c>
      <c r="AH6" s="37"/>
      <c r="AI6" s="37"/>
      <c r="AJ6" s="37" t="str">
        <f>IF(COUNTIF(AI2:AI33,AI6) &gt; 0, COUNTIF(AI2:AI33,AI6), "")</f>
        <v/>
      </c>
      <c r="AK6" s="49" t="str">
        <f t="shared" si="8"/>
        <v/>
      </c>
      <c r="AL6" s="4"/>
      <c r="AM6" s="4"/>
      <c r="AN6" s="4" t="str">
        <f>IF(COUNTIF(AM2:AM33,AM6) &gt; 0, COUNTIF(AM2:AM33,AM6), "")</f>
        <v/>
      </c>
      <c r="AO6" s="51" t="str">
        <f t="shared" si="9"/>
        <v/>
      </c>
      <c r="AP6" s="37"/>
      <c r="AQ6" s="37"/>
      <c r="AR6" s="37" t="str">
        <f>IF(COUNTIF(AQ2:AQ33,AQ6) &gt; 0, COUNTIF(AQ2:AQ33,AQ6), "")</f>
        <v/>
      </c>
      <c r="AS6" s="49" t="str">
        <f t="shared" si="10"/>
        <v/>
      </c>
      <c r="AT6" s="4"/>
      <c r="AU6" s="4"/>
      <c r="AV6" s="4" t="str">
        <f>IF(COUNTIF(AU2:AU33,AU6) &gt; 0, COUNTIF(AU2:AU33,AU6), "")</f>
        <v/>
      </c>
      <c r="AW6" s="51" t="str">
        <f t="shared" si="11"/>
        <v/>
      </c>
      <c r="AX6" s="37"/>
      <c r="AY6" s="37"/>
      <c r="AZ6" s="37" t="str">
        <f>IF(COUNTIF(AY2:AY33,AY6) &gt; 0, COUNTIF(AY2:AY33,AY6), "")</f>
        <v/>
      </c>
      <c r="BA6" s="49" t="str">
        <f t="shared" si="12"/>
        <v/>
      </c>
      <c r="BB6" s="4"/>
      <c r="BC6" s="4"/>
      <c r="BD6" s="4" t="str">
        <f>IF(COUNTIF(BC2:BC33,BC6) &gt; 0, COUNTIF(BC2:BC33,BC6), "")</f>
        <v/>
      </c>
      <c r="BE6" s="51" t="str">
        <f t="shared" si="13"/>
        <v/>
      </c>
      <c r="BF6" s="37"/>
      <c r="BG6" s="37"/>
      <c r="BH6" s="37" t="str">
        <f>IF(COUNTIF(BG2:BG33,BG6) &gt; 0, COUNTIF(BG2:BG33,BG6), "")</f>
        <v/>
      </c>
      <c r="BI6" s="49" t="str">
        <f t="shared" si="14"/>
        <v/>
      </c>
      <c r="BJ6" s="4"/>
      <c r="BK6" s="4"/>
      <c r="BL6" s="4" t="str">
        <f>IF(COUNTIF(BK2:BK33,BK6) &gt; 0, COUNTIF(BK2:BK33,BK6), "")</f>
        <v/>
      </c>
      <c r="BM6" s="51" t="str">
        <f t="shared" si="15"/>
        <v/>
      </c>
      <c r="BN6" s="37"/>
      <c r="BO6" s="37"/>
      <c r="BP6" s="37" t="str">
        <f>IF(COUNTIF(BO2:BO33,BO6) &gt; 0, COUNTIF(BO2:BO33,BO6), "")</f>
        <v/>
      </c>
      <c r="BQ6" s="49" t="str">
        <f t="shared" si="16"/>
        <v/>
      </c>
      <c r="BR6" s="4"/>
      <c r="BS6" s="4"/>
      <c r="BT6" s="4" t="str">
        <f>IF(COUNTIF(BS2:BS33,BS6) &gt; 0, COUNTIF(BS2:BS33,BS6), "")</f>
        <v/>
      </c>
      <c r="BU6" s="51" t="str">
        <f t="shared" si="17"/>
        <v/>
      </c>
      <c r="BV6" s="37"/>
      <c r="BW6" s="37"/>
      <c r="BX6" s="37" t="str">
        <f>IF(COUNTIF(BW2:BW33,BW6) &gt; 0, COUNTIF(BW2:BW33,BW6), "")</f>
        <v/>
      </c>
      <c r="BY6" s="49" t="str">
        <f t="shared" si="18"/>
        <v/>
      </c>
      <c r="BZ6" s="4"/>
      <c r="CA6" s="4"/>
      <c r="CB6" s="4" t="str">
        <f>IF(COUNTIF(CA2:CA33,CA6) &gt; 0, COUNTIF(CA2:CA33,CA6), "")</f>
        <v/>
      </c>
      <c r="CC6" s="51" t="str">
        <f t="shared" si="19"/>
        <v/>
      </c>
      <c r="CD6" s="6" t="str">
        <f t="shared" si="20"/>
        <v/>
      </c>
      <c r="CE6" s="46">
        <f>32-(COUNTIF(A2:A33,""))</f>
        <v>0</v>
      </c>
    </row>
    <row r="7" spans="1:84" x14ac:dyDescent="0.25">
      <c r="A7" s="2" t="str">
        <f>IF('Score joueurs'!A7="","", 'Score joueurs'!A7)</f>
        <v/>
      </c>
      <c r="B7" s="37"/>
      <c r="C7" s="37"/>
      <c r="D7" s="37" t="str">
        <f>IF(COUNTIF(C2:C33,C7) &gt; 0, COUNTIF(C2:C33,C7), "")</f>
        <v/>
      </c>
      <c r="E7" s="49" t="str">
        <f t="shared" si="0"/>
        <v/>
      </c>
      <c r="F7" s="1"/>
      <c r="G7" s="1"/>
      <c r="H7" s="4" t="str">
        <f>IF(COUNTIF(G2:G33,G7) &gt; 0, COUNTIF(G2:G33,G7), "")</f>
        <v/>
      </c>
      <c r="I7" s="51" t="str">
        <f t="shared" si="1"/>
        <v/>
      </c>
      <c r="J7" s="38"/>
      <c r="K7" s="38"/>
      <c r="L7" s="37" t="str">
        <f>IF(COUNTIF(K2:K33,K7) &gt; 0, COUNTIF(K2:K33,K7), "")</f>
        <v/>
      </c>
      <c r="M7" s="49" t="str">
        <f t="shared" si="2"/>
        <v/>
      </c>
      <c r="N7" s="1"/>
      <c r="O7" s="1"/>
      <c r="P7" s="4" t="str">
        <f>IF(COUNTIF(O2:O33,O7) &gt; 0, COUNTIF(O2:O33,O7), "")</f>
        <v/>
      </c>
      <c r="Q7" s="51" t="str">
        <f t="shared" si="3"/>
        <v/>
      </c>
      <c r="R7" s="38"/>
      <c r="S7" s="38"/>
      <c r="T7" s="37" t="str">
        <f>IF(COUNTIF(S2:S33,S7) &gt; 0, COUNTIF(S2:S33,S7), "")</f>
        <v/>
      </c>
      <c r="U7" s="49" t="str">
        <f t="shared" si="4"/>
        <v/>
      </c>
      <c r="V7" s="1"/>
      <c r="W7" s="1"/>
      <c r="X7" s="4" t="str">
        <f>IF(COUNTIF(W2:W33,W7) &gt; 0, COUNTIF(W2:W33,W7), "")</f>
        <v/>
      </c>
      <c r="Y7" s="51" t="str">
        <f t="shared" si="5"/>
        <v/>
      </c>
      <c r="Z7" s="38"/>
      <c r="AA7" s="38"/>
      <c r="AB7" s="37" t="str">
        <f>IF(COUNTIF(AA2:AA33,AA7) &gt; 0, COUNTIF(AA2:AA33,AA7), "")</f>
        <v/>
      </c>
      <c r="AC7" s="49" t="str">
        <f t="shared" si="6"/>
        <v/>
      </c>
      <c r="AD7" s="1"/>
      <c r="AE7" s="1"/>
      <c r="AF7" s="4" t="str">
        <f>IF(COUNTIF(AE2:AE33,AE7) &gt; 0, COUNTIF(AE2:AE33,AE7), "")</f>
        <v/>
      </c>
      <c r="AG7" s="51" t="str">
        <f t="shared" si="7"/>
        <v/>
      </c>
      <c r="AH7" s="38"/>
      <c r="AI7" s="38"/>
      <c r="AJ7" s="37" t="str">
        <f>IF(COUNTIF(AI2:AI33,AI7) &gt; 0, COUNTIF(AI2:AI33,AI7), "")</f>
        <v/>
      </c>
      <c r="AK7" s="49" t="str">
        <f t="shared" si="8"/>
        <v/>
      </c>
      <c r="AL7" s="1"/>
      <c r="AM7" s="1"/>
      <c r="AN7" s="4" t="str">
        <f>IF(COUNTIF(AM2:AM33,AM7) &gt; 0, COUNTIF(AM2:AM33,AM7), "")</f>
        <v/>
      </c>
      <c r="AO7" s="51" t="str">
        <f t="shared" si="9"/>
        <v/>
      </c>
      <c r="AP7" s="38"/>
      <c r="AQ7" s="38"/>
      <c r="AR7" s="37" t="str">
        <f>IF(COUNTIF(AQ2:AQ33,AQ7) &gt; 0, COUNTIF(AQ2:AQ33,AQ7), "")</f>
        <v/>
      </c>
      <c r="AS7" s="49" t="str">
        <f t="shared" si="10"/>
        <v/>
      </c>
      <c r="AT7" s="1"/>
      <c r="AU7" s="1"/>
      <c r="AV7" s="4" t="str">
        <f>IF(COUNTIF(AU2:AU33,AU7) &gt; 0, COUNTIF(AU2:AU33,AU7), "")</f>
        <v/>
      </c>
      <c r="AW7" s="51" t="str">
        <f t="shared" si="11"/>
        <v/>
      </c>
      <c r="AX7" s="38"/>
      <c r="AY7" s="38"/>
      <c r="AZ7" s="37" t="str">
        <f>IF(COUNTIF(AY2:AY33,AY7) &gt; 0, COUNTIF(AY2:AY33,AY7), "")</f>
        <v/>
      </c>
      <c r="BA7" s="49" t="str">
        <f t="shared" si="12"/>
        <v/>
      </c>
      <c r="BB7" s="1"/>
      <c r="BC7" s="1"/>
      <c r="BD7" s="4" t="str">
        <f>IF(COUNTIF(BC2:BC33,BC7) &gt; 0, COUNTIF(BC2:BC33,BC7), "")</f>
        <v/>
      </c>
      <c r="BE7" s="51" t="str">
        <f t="shared" si="13"/>
        <v/>
      </c>
      <c r="BF7" s="38"/>
      <c r="BG7" s="38"/>
      <c r="BH7" s="37" t="str">
        <f>IF(COUNTIF(BG2:BG33,BG7) &gt; 0, COUNTIF(BG2:BG33,BG7), "")</f>
        <v/>
      </c>
      <c r="BI7" s="49" t="str">
        <f t="shared" si="14"/>
        <v/>
      </c>
      <c r="BJ7" s="1"/>
      <c r="BK7" s="1"/>
      <c r="BL7" s="4" t="str">
        <f>IF(COUNTIF(BK2:BK33,BK7) &gt; 0, COUNTIF(BK2:BK33,BK7), "")</f>
        <v/>
      </c>
      <c r="BM7" s="51" t="str">
        <f t="shared" si="15"/>
        <v/>
      </c>
      <c r="BN7" s="38"/>
      <c r="BO7" s="38"/>
      <c r="BP7" s="37" t="str">
        <f>IF(COUNTIF(BO2:BO33,BO7) &gt; 0, COUNTIF(BO2:BO33,BO7), "")</f>
        <v/>
      </c>
      <c r="BQ7" s="49" t="str">
        <f t="shared" si="16"/>
        <v/>
      </c>
      <c r="BR7" s="1"/>
      <c r="BS7" s="1"/>
      <c r="BT7" s="4" t="str">
        <f>IF(COUNTIF(BS2:BS33,BS7) &gt; 0, COUNTIF(BS2:BS33,BS7), "")</f>
        <v/>
      </c>
      <c r="BU7" s="51" t="str">
        <f t="shared" si="17"/>
        <v/>
      </c>
      <c r="BV7" s="38"/>
      <c r="BW7" s="38"/>
      <c r="BX7" s="37" t="str">
        <f>IF(COUNTIF(BW2:BW33,BW7) &gt; 0, COUNTIF(BW2:BW33,BW7), "")</f>
        <v/>
      </c>
      <c r="BY7" s="49" t="str">
        <f t="shared" si="18"/>
        <v/>
      </c>
      <c r="BZ7" s="1"/>
      <c r="CA7" s="1"/>
      <c r="CB7" s="4" t="str">
        <f>IF(COUNTIF(CA2:CA33,CA7) &gt; 0, COUNTIF(CA2:CA33,CA7), "")</f>
        <v/>
      </c>
      <c r="CC7" s="51" t="str">
        <f t="shared" si="19"/>
        <v/>
      </c>
      <c r="CD7" s="6" t="str">
        <f t="shared" si="20"/>
        <v/>
      </c>
      <c r="CE7" s="46">
        <f>32-(COUNTIF(A2:A33,""))</f>
        <v>0</v>
      </c>
    </row>
    <row r="8" spans="1:84" x14ac:dyDescent="0.25">
      <c r="A8" s="2" t="str">
        <f>IF('Score joueurs'!A8="","", 'Score joueurs'!A8)</f>
        <v/>
      </c>
      <c r="B8" s="37"/>
      <c r="C8" s="37"/>
      <c r="D8" s="37" t="str">
        <f>IF(COUNTIF(C2:C33,C8) &gt; 0, COUNTIF(C2:C33,C8), "")</f>
        <v/>
      </c>
      <c r="E8" s="49" t="str">
        <f t="shared" si="0"/>
        <v/>
      </c>
      <c r="F8" s="4"/>
      <c r="G8" s="4"/>
      <c r="H8" s="4" t="str">
        <f>IF(COUNTIF(G2:G33,G8) &gt; 0, COUNTIF(G2:G33,G8), "")</f>
        <v/>
      </c>
      <c r="I8" s="51" t="str">
        <f t="shared" si="1"/>
        <v/>
      </c>
      <c r="J8" s="37"/>
      <c r="K8" s="37"/>
      <c r="L8" s="37" t="str">
        <f>IF(COUNTIF(K2:K33,K8) &gt; 0, COUNTIF(K2:K33,K8), "")</f>
        <v/>
      </c>
      <c r="M8" s="49" t="str">
        <f t="shared" si="2"/>
        <v/>
      </c>
      <c r="N8" s="4"/>
      <c r="O8" s="4"/>
      <c r="P8" s="4" t="str">
        <f>IF(COUNTIF(O2:O33,O8) &gt; 0, COUNTIF(O2:O33,O8), "")</f>
        <v/>
      </c>
      <c r="Q8" s="51" t="str">
        <f t="shared" si="3"/>
        <v/>
      </c>
      <c r="R8" s="37"/>
      <c r="S8" s="37"/>
      <c r="T8" s="37" t="str">
        <f>IF(COUNTIF(S2:S33,S8) &gt; 0, COUNTIF(S2:S33,S8), "")</f>
        <v/>
      </c>
      <c r="U8" s="49" t="str">
        <f t="shared" si="4"/>
        <v/>
      </c>
      <c r="V8" s="4"/>
      <c r="W8" s="4"/>
      <c r="X8" s="4" t="str">
        <f>IF(COUNTIF(W2:W33,W8) &gt; 0, COUNTIF(W2:W33,W8), "")</f>
        <v/>
      </c>
      <c r="Y8" s="51" t="str">
        <f t="shared" si="5"/>
        <v/>
      </c>
      <c r="Z8" s="37"/>
      <c r="AA8" s="37"/>
      <c r="AB8" s="37" t="str">
        <f>IF(COUNTIF(AA2:AA33,AA8) &gt; 0, COUNTIF(AA2:AA33,AA8), "")</f>
        <v/>
      </c>
      <c r="AC8" s="49" t="str">
        <f t="shared" si="6"/>
        <v/>
      </c>
      <c r="AD8" s="4"/>
      <c r="AE8" s="4"/>
      <c r="AF8" s="4" t="str">
        <f>IF(COUNTIF(AE2:AE33,AE8) &gt; 0, COUNTIF(AE2:AE33,AE8), "")</f>
        <v/>
      </c>
      <c r="AG8" s="51" t="str">
        <f t="shared" si="7"/>
        <v/>
      </c>
      <c r="AH8" s="37"/>
      <c r="AI8" s="37"/>
      <c r="AJ8" s="37" t="str">
        <f>IF(COUNTIF(AI2:AI33,AI8) &gt; 0, COUNTIF(AI2:AI33,AI8), "")</f>
        <v/>
      </c>
      <c r="AK8" s="49" t="str">
        <f t="shared" si="8"/>
        <v/>
      </c>
      <c r="AL8" s="4"/>
      <c r="AM8" s="4"/>
      <c r="AN8" s="4" t="str">
        <f>IF(COUNTIF(AM2:AM33,AM8) &gt; 0, COUNTIF(AM2:AM33,AM8), "")</f>
        <v/>
      </c>
      <c r="AO8" s="51" t="str">
        <f t="shared" si="9"/>
        <v/>
      </c>
      <c r="AP8" s="37"/>
      <c r="AQ8" s="37"/>
      <c r="AR8" s="37" t="str">
        <f>IF(COUNTIF(AQ2:AQ33,AQ8) &gt; 0, COUNTIF(AQ2:AQ33,AQ8), "")</f>
        <v/>
      </c>
      <c r="AS8" s="49" t="str">
        <f t="shared" si="10"/>
        <v/>
      </c>
      <c r="AT8" s="4"/>
      <c r="AU8" s="4"/>
      <c r="AV8" s="4" t="str">
        <f>IF(COUNTIF(AU2:AU33,AU8) &gt; 0, COUNTIF(AU2:AU33,AU8), "")</f>
        <v/>
      </c>
      <c r="AW8" s="51" t="str">
        <f t="shared" si="11"/>
        <v/>
      </c>
      <c r="AX8" s="37"/>
      <c r="AY8" s="37"/>
      <c r="AZ8" s="37" t="str">
        <f>IF(COUNTIF(AY2:AY33,AY8) &gt; 0, COUNTIF(AY2:AY33,AY8), "")</f>
        <v/>
      </c>
      <c r="BA8" s="49" t="str">
        <f t="shared" si="12"/>
        <v/>
      </c>
      <c r="BB8" s="4"/>
      <c r="BC8" s="4"/>
      <c r="BD8" s="4" t="str">
        <f>IF(COUNTIF(BC2:BC33,BC8) &gt; 0, COUNTIF(BC2:BC33,BC8), "")</f>
        <v/>
      </c>
      <c r="BE8" s="51" t="str">
        <f t="shared" si="13"/>
        <v/>
      </c>
      <c r="BF8" s="37"/>
      <c r="BG8" s="37"/>
      <c r="BH8" s="37" t="str">
        <f>IF(COUNTIF(BG2:BG33,BG8) &gt; 0, COUNTIF(BG2:BG33,BG8), "")</f>
        <v/>
      </c>
      <c r="BI8" s="49" t="str">
        <f t="shared" si="14"/>
        <v/>
      </c>
      <c r="BJ8" s="4"/>
      <c r="BK8" s="4"/>
      <c r="BL8" s="4" t="str">
        <f>IF(COUNTIF(BK2:BK33,BK8) &gt; 0, COUNTIF(BK2:BK33,BK8), "")</f>
        <v/>
      </c>
      <c r="BM8" s="51" t="str">
        <f t="shared" si="15"/>
        <v/>
      </c>
      <c r="BN8" s="37"/>
      <c r="BO8" s="37"/>
      <c r="BP8" s="37" t="str">
        <f>IF(COUNTIF(BO2:BO33,BO8) &gt; 0, COUNTIF(BO2:BO33,BO8), "")</f>
        <v/>
      </c>
      <c r="BQ8" s="49" t="str">
        <f t="shared" si="16"/>
        <v/>
      </c>
      <c r="BR8" s="4"/>
      <c r="BS8" s="4"/>
      <c r="BT8" s="4" t="str">
        <f>IF(COUNTIF(BS2:BS33,BS8) &gt; 0, COUNTIF(BS2:BS33,BS8), "")</f>
        <v/>
      </c>
      <c r="BU8" s="51" t="str">
        <f t="shared" si="17"/>
        <v/>
      </c>
      <c r="BV8" s="37"/>
      <c r="BW8" s="37"/>
      <c r="BX8" s="37" t="str">
        <f>IF(COUNTIF(BW2:BW33,BW8) &gt; 0, COUNTIF(BW2:BW33,BW8), "")</f>
        <v/>
      </c>
      <c r="BY8" s="49" t="str">
        <f t="shared" si="18"/>
        <v/>
      </c>
      <c r="BZ8" s="4"/>
      <c r="CA8" s="4"/>
      <c r="CB8" s="4" t="str">
        <f>IF(COUNTIF(CA2:CA33,CA8) &gt; 0, COUNTIF(CA2:CA33,CA8), "")</f>
        <v/>
      </c>
      <c r="CC8" s="51" t="str">
        <f t="shared" si="19"/>
        <v/>
      </c>
      <c r="CD8" s="6" t="str">
        <f t="shared" si="20"/>
        <v/>
      </c>
      <c r="CE8" s="46">
        <f>32-(COUNTIF(A2:A33,""))</f>
        <v>0</v>
      </c>
    </row>
    <row r="9" spans="1:84" x14ac:dyDescent="0.25">
      <c r="A9" s="2" t="str">
        <f>IF('Score joueurs'!A9="","", 'Score joueurs'!A9)</f>
        <v/>
      </c>
      <c r="B9" s="38"/>
      <c r="C9" s="38"/>
      <c r="D9" s="37" t="str">
        <f>IF(COUNTIF(C2:C33,C9) &gt; 0, COUNTIF(C2:C33,C9), "")</f>
        <v/>
      </c>
      <c r="E9" s="49" t="str">
        <f t="shared" si="0"/>
        <v/>
      </c>
      <c r="F9" s="1"/>
      <c r="G9" s="1"/>
      <c r="H9" s="4" t="str">
        <f>IF(COUNTIF(G2:G33,G9) &gt; 0, COUNTIF(G2:G43,G9), "")</f>
        <v/>
      </c>
      <c r="I9" s="51" t="str">
        <f t="shared" si="1"/>
        <v/>
      </c>
      <c r="J9" s="38"/>
      <c r="K9" s="38"/>
      <c r="L9" s="37" t="str">
        <f>IF(COUNTIF(K2:K33,K9) &gt; 0, COUNTIF(K2:K43,K9), "")</f>
        <v/>
      </c>
      <c r="M9" s="49" t="str">
        <f t="shared" si="2"/>
        <v/>
      </c>
      <c r="N9" s="1"/>
      <c r="O9" s="1"/>
      <c r="P9" s="4" t="str">
        <f>IF(COUNTIF(O2:O33,O9) &gt; 0, COUNTIF(O2:O43,O9), "")</f>
        <v/>
      </c>
      <c r="Q9" s="51" t="str">
        <f t="shared" si="3"/>
        <v/>
      </c>
      <c r="R9" s="38"/>
      <c r="S9" s="38"/>
      <c r="T9" s="37" t="str">
        <f>IF(COUNTIF(S2:S33,S9) &gt; 0, COUNTIF(S2:S43,S9), "")</f>
        <v/>
      </c>
      <c r="U9" s="49" t="str">
        <f t="shared" si="4"/>
        <v/>
      </c>
      <c r="V9" s="1"/>
      <c r="W9" s="1"/>
      <c r="X9" s="4" t="str">
        <f>IF(COUNTIF(W2:W33,W9) &gt; 0, COUNTIF(W2:W43,W9), "")</f>
        <v/>
      </c>
      <c r="Y9" s="51" t="str">
        <f t="shared" si="5"/>
        <v/>
      </c>
      <c r="Z9" s="38"/>
      <c r="AA9" s="38"/>
      <c r="AB9" s="37" t="str">
        <f>IF(COUNTIF(AA2:AA33,AA9) &gt; 0, COUNTIF(AA2:AA43,AA9), "")</f>
        <v/>
      </c>
      <c r="AC9" s="49" t="str">
        <f t="shared" si="6"/>
        <v/>
      </c>
      <c r="AD9" s="1"/>
      <c r="AE9" s="1"/>
      <c r="AF9" s="4" t="str">
        <f>IF(COUNTIF(AE2:AE33,AE9) &gt; 0, COUNTIF(AE2:AE43,AE9), "")</f>
        <v/>
      </c>
      <c r="AG9" s="51" t="str">
        <f t="shared" si="7"/>
        <v/>
      </c>
      <c r="AH9" s="38"/>
      <c r="AI9" s="38"/>
      <c r="AJ9" s="37" t="str">
        <f>IF(COUNTIF(AI2:AI33,AI9) &gt; 0, COUNTIF(AI2:AI43,AI9), "")</f>
        <v/>
      </c>
      <c r="AK9" s="49" t="str">
        <f t="shared" si="8"/>
        <v/>
      </c>
      <c r="AL9" s="1"/>
      <c r="AM9" s="1"/>
      <c r="AN9" s="4" t="str">
        <f>IF(COUNTIF(AM2:AM33,AM9) &gt; 0, COUNTIF(AM2:AM43,AM9), "")</f>
        <v/>
      </c>
      <c r="AO9" s="51" t="str">
        <f t="shared" si="9"/>
        <v/>
      </c>
      <c r="AP9" s="38"/>
      <c r="AQ9" s="38"/>
      <c r="AR9" s="37" t="str">
        <f>IF(COUNTIF(AQ2:AQ33,AQ9) &gt; 0, COUNTIF(AQ2:AQ43,AQ9), "")</f>
        <v/>
      </c>
      <c r="AS9" s="49" t="str">
        <f t="shared" si="10"/>
        <v/>
      </c>
      <c r="AT9" s="1"/>
      <c r="AU9" s="1"/>
      <c r="AV9" s="4" t="str">
        <f>IF(COUNTIF(AU2:AU33,AU9) &gt; 0, COUNTIF(AU2:AU43,AU9), "")</f>
        <v/>
      </c>
      <c r="AW9" s="51" t="str">
        <f t="shared" si="11"/>
        <v/>
      </c>
      <c r="AX9" s="38"/>
      <c r="AY9" s="38"/>
      <c r="AZ9" s="37" t="str">
        <f>IF(COUNTIF(AY2:AY33,AY9) &gt; 0, COUNTIF(AY2:AY43,AY9), "")</f>
        <v/>
      </c>
      <c r="BA9" s="49" t="str">
        <f t="shared" si="12"/>
        <v/>
      </c>
      <c r="BB9" s="1"/>
      <c r="BC9" s="1"/>
      <c r="BD9" s="4" t="str">
        <f>IF(COUNTIF(BC2:BC33,BC9) &gt; 0, COUNTIF(BC2:BC43,BC9), "")</f>
        <v/>
      </c>
      <c r="BE9" s="51" t="str">
        <f t="shared" si="13"/>
        <v/>
      </c>
      <c r="BF9" s="38"/>
      <c r="BG9" s="38"/>
      <c r="BH9" s="37" t="str">
        <f>IF(COUNTIF(BG2:BG33,BG9) &gt; 0, COUNTIF(BG2:BG43,BG9), "")</f>
        <v/>
      </c>
      <c r="BI9" s="49" t="str">
        <f t="shared" si="14"/>
        <v/>
      </c>
      <c r="BJ9" s="1"/>
      <c r="BK9" s="1"/>
      <c r="BL9" s="4" t="str">
        <f>IF(COUNTIF(BK2:BK33,BK9) &gt; 0, COUNTIF(BK2:BK43,BK9), "")</f>
        <v/>
      </c>
      <c r="BM9" s="51" t="str">
        <f t="shared" si="15"/>
        <v/>
      </c>
      <c r="BN9" s="38"/>
      <c r="BO9" s="38"/>
      <c r="BP9" s="37" t="str">
        <f>IF(COUNTIF(BO2:BO33,BO9) &gt; 0, COUNTIF(BO2:BO43,BO9), "")</f>
        <v/>
      </c>
      <c r="BQ9" s="49" t="str">
        <f t="shared" si="16"/>
        <v/>
      </c>
      <c r="BR9" s="1"/>
      <c r="BS9" s="1"/>
      <c r="BT9" s="4" t="str">
        <f>IF(COUNTIF(BS2:BS33,BS9) &gt; 0, COUNTIF(BS2:BS43,BS9), "")</f>
        <v/>
      </c>
      <c r="BU9" s="51" t="str">
        <f t="shared" si="17"/>
        <v/>
      </c>
      <c r="BV9" s="38"/>
      <c r="BW9" s="38"/>
      <c r="BX9" s="37" t="str">
        <f>IF(COUNTIF(BW2:BW33,BW9) &gt; 0, COUNTIF(BW2:BW43,BW9), "")</f>
        <v/>
      </c>
      <c r="BY9" s="49" t="str">
        <f t="shared" si="18"/>
        <v/>
      </c>
      <c r="BZ9" s="1"/>
      <c r="CA9" s="1"/>
      <c r="CB9" s="4" t="str">
        <f>IF(COUNTIF(CA2:CA33,CA9) &gt; 0, COUNTIF(CA2:CA43,CA9), "")</f>
        <v/>
      </c>
      <c r="CC9" s="51" t="str">
        <f t="shared" si="19"/>
        <v/>
      </c>
      <c r="CD9" s="6" t="str">
        <f t="shared" si="20"/>
        <v/>
      </c>
      <c r="CE9" s="46">
        <f>32-(COUNTIF(A2:A33,""))</f>
        <v>0</v>
      </c>
    </row>
    <row r="10" spans="1:84" x14ac:dyDescent="0.25">
      <c r="A10" s="2" t="str">
        <f>IF('Score joueurs'!A10="","", 'Score joueurs'!A10)</f>
        <v/>
      </c>
      <c r="B10" s="37"/>
      <c r="C10" s="37"/>
      <c r="D10" s="37" t="str">
        <f>IF(COUNTIF(C2:C33,C10) &gt; 0, COUNTIF(C2:C33,C10), "")</f>
        <v/>
      </c>
      <c r="E10" s="49" t="str">
        <f t="shared" si="0"/>
        <v/>
      </c>
      <c r="F10" s="4"/>
      <c r="G10" s="4"/>
      <c r="H10" s="4" t="str">
        <f>IF(COUNTIF(G2:G33,G10) &gt; 0, COUNTIF(G2:G33,G10), "")</f>
        <v/>
      </c>
      <c r="I10" s="51" t="str">
        <f t="shared" si="1"/>
        <v/>
      </c>
      <c r="J10" s="37"/>
      <c r="K10" s="37"/>
      <c r="L10" s="37" t="str">
        <f>IF(COUNTIF(K2:K33,K10) &gt; 0, COUNTIF(K2:K33,K10), "")</f>
        <v/>
      </c>
      <c r="M10" s="49" t="str">
        <f t="shared" si="2"/>
        <v/>
      </c>
      <c r="N10" s="4"/>
      <c r="O10" s="4"/>
      <c r="P10" s="4" t="str">
        <f>IF(COUNTIF(O2:O33,O10) &gt; 0, COUNTIF(O2:O33,O10), "")</f>
        <v/>
      </c>
      <c r="Q10" s="51" t="str">
        <f t="shared" si="3"/>
        <v/>
      </c>
      <c r="R10" s="37"/>
      <c r="S10" s="37"/>
      <c r="T10" s="37" t="str">
        <f>IF(COUNTIF(S2:S33,S10) &gt; 0, COUNTIF(S2:S33,S10), "")</f>
        <v/>
      </c>
      <c r="U10" s="49" t="str">
        <f t="shared" si="4"/>
        <v/>
      </c>
      <c r="V10" s="4"/>
      <c r="W10" s="4"/>
      <c r="X10" s="4" t="str">
        <f>IF(COUNTIF(W2:W33,W10) &gt; 0, COUNTIF(W2:W33,W10), "")</f>
        <v/>
      </c>
      <c r="Y10" s="51" t="str">
        <f t="shared" si="5"/>
        <v/>
      </c>
      <c r="Z10" s="37"/>
      <c r="AA10" s="37"/>
      <c r="AB10" s="37" t="str">
        <f>IF(COUNTIF(AA2:AA33,AA10) &gt; 0, COUNTIF(AA2:AA33,AA10), "")</f>
        <v/>
      </c>
      <c r="AC10" s="49" t="str">
        <f t="shared" si="6"/>
        <v/>
      </c>
      <c r="AD10" s="4"/>
      <c r="AE10" s="4"/>
      <c r="AF10" s="4" t="str">
        <f>IF(COUNTIF(AE2:AE33,AE10) &gt; 0, COUNTIF(AE2:AE33,AE10), "")</f>
        <v/>
      </c>
      <c r="AG10" s="51" t="str">
        <f t="shared" si="7"/>
        <v/>
      </c>
      <c r="AH10" s="37"/>
      <c r="AI10" s="37"/>
      <c r="AJ10" s="37" t="str">
        <f>IF(COUNTIF(AI2:AI33,AI10) &gt; 0, COUNTIF(AI2:AI33,AI10), "")</f>
        <v/>
      </c>
      <c r="AK10" s="49" t="str">
        <f t="shared" si="8"/>
        <v/>
      </c>
      <c r="AL10" s="4"/>
      <c r="AM10" s="4"/>
      <c r="AN10" s="4" t="str">
        <f>IF(COUNTIF(AM2:AM33,AM10) &gt; 0, COUNTIF(AM2:AM33,AM10), "")</f>
        <v/>
      </c>
      <c r="AO10" s="51" t="str">
        <f t="shared" si="9"/>
        <v/>
      </c>
      <c r="AP10" s="37"/>
      <c r="AQ10" s="37"/>
      <c r="AR10" s="37" t="str">
        <f>IF(COUNTIF(AQ2:AQ33,AQ10) &gt; 0, COUNTIF(AQ2:AQ33,AQ10), "")</f>
        <v/>
      </c>
      <c r="AS10" s="49" t="str">
        <f t="shared" si="10"/>
        <v/>
      </c>
      <c r="AT10" s="4"/>
      <c r="AU10" s="4"/>
      <c r="AV10" s="4" t="str">
        <f>IF(COUNTIF(AU2:AU33,AU10) &gt; 0, COUNTIF(AU2:AU33,AU10), "")</f>
        <v/>
      </c>
      <c r="AW10" s="51" t="str">
        <f t="shared" si="11"/>
        <v/>
      </c>
      <c r="AX10" s="37"/>
      <c r="AY10" s="37"/>
      <c r="AZ10" s="37" t="str">
        <f>IF(COUNTIF(AY2:AY33,AY10) &gt; 0, COUNTIF(AY2:AY33,AY10), "")</f>
        <v/>
      </c>
      <c r="BA10" s="49" t="str">
        <f t="shared" si="12"/>
        <v/>
      </c>
      <c r="BB10" s="4"/>
      <c r="BC10" s="4"/>
      <c r="BD10" s="4" t="str">
        <f>IF(COUNTIF(BC2:BC33,BC10) &gt; 0, COUNTIF(BC2:BC33,BC10), "")</f>
        <v/>
      </c>
      <c r="BE10" s="51" t="str">
        <f t="shared" si="13"/>
        <v/>
      </c>
      <c r="BF10" s="37"/>
      <c r="BG10" s="37"/>
      <c r="BH10" s="37" t="str">
        <f>IF(COUNTIF(BG2:BG33,BG10) &gt; 0, COUNTIF(BG2:BG33,BG10), "")</f>
        <v/>
      </c>
      <c r="BI10" s="49" t="str">
        <f t="shared" si="14"/>
        <v/>
      </c>
      <c r="BJ10" s="4"/>
      <c r="BK10" s="4"/>
      <c r="BL10" s="4" t="str">
        <f>IF(COUNTIF(BK2:BK33,BK10) &gt; 0, COUNTIF(BK2:BK33,BK10), "")</f>
        <v/>
      </c>
      <c r="BM10" s="51" t="str">
        <f t="shared" si="15"/>
        <v/>
      </c>
      <c r="BN10" s="37"/>
      <c r="BO10" s="37"/>
      <c r="BP10" s="37" t="str">
        <f>IF(COUNTIF(BO2:BO33,BO10) &gt; 0, COUNTIF(BO2:BO33,BO10), "")</f>
        <v/>
      </c>
      <c r="BQ10" s="49" t="str">
        <f t="shared" si="16"/>
        <v/>
      </c>
      <c r="BR10" s="4"/>
      <c r="BS10" s="4"/>
      <c r="BT10" s="4" t="str">
        <f>IF(COUNTIF(BS2:BS33,BS10) &gt; 0, COUNTIF(BS2:BS33,BS10), "")</f>
        <v/>
      </c>
      <c r="BU10" s="51" t="str">
        <f t="shared" si="17"/>
        <v/>
      </c>
      <c r="BV10" s="37"/>
      <c r="BW10" s="37"/>
      <c r="BX10" s="37" t="str">
        <f>IF(COUNTIF(BW2:BW33,BW10) &gt; 0, COUNTIF(BW2:BW33,BW10), "")</f>
        <v/>
      </c>
      <c r="BY10" s="49" t="str">
        <f t="shared" si="18"/>
        <v/>
      </c>
      <c r="BZ10" s="4"/>
      <c r="CA10" s="4"/>
      <c r="CB10" s="4" t="str">
        <f>IF(COUNTIF(CA2:CA33,CA10) &gt; 0, COUNTIF(CA2:CA33,CA10), "")</f>
        <v/>
      </c>
      <c r="CC10" s="51" t="str">
        <f t="shared" si="19"/>
        <v/>
      </c>
      <c r="CD10" s="6" t="str">
        <f t="shared" si="20"/>
        <v/>
      </c>
      <c r="CE10" s="46">
        <f>32-(COUNTIF(A2:A33,""))</f>
        <v>0</v>
      </c>
    </row>
    <row r="11" spans="1:84" x14ac:dyDescent="0.25">
      <c r="A11" s="2" t="str">
        <f>IF('Score joueurs'!A11="","", 'Score joueurs'!A11)</f>
        <v/>
      </c>
      <c r="B11" s="37"/>
      <c r="C11" s="37"/>
      <c r="D11" s="37" t="str">
        <f>IF(COUNTIF(C2:C33,C11) &gt; 0, COUNTIF(C2:C33,C11), "")</f>
        <v/>
      </c>
      <c r="E11" s="49" t="str">
        <f t="shared" si="0"/>
        <v/>
      </c>
      <c r="F11" s="1"/>
      <c r="G11" s="1"/>
      <c r="H11" s="4" t="str">
        <f>IF(COUNTIF(G2:G33,G11) &gt; 0, COUNTIF(G2:G33,G11), "")</f>
        <v/>
      </c>
      <c r="I11" s="51" t="str">
        <f t="shared" si="1"/>
        <v/>
      </c>
      <c r="J11" s="38"/>
      <c r="K11" s="38"/>
      <c r="L11" s="37" t="str">
        <f>IF(COUNTIF(K2:K33,K11) &gt; 0, COUNTIF(K2:K33,K11), "")</f>
        <v/>
      </c>
      <c r="M11" s="49" t="str">
        <f t="shared" si="2"/>
        <v/>
      </c>
      <c r="N11" s="1"/>
      <c r="O11" s="1"/>
      <c r="P11" s="4" t="str">
        <f>IF(COUNTIF(O2:O33,O11) &gt; 0, COUNTIF(O2:O33,O11), "")</f>
        <v/>
      </c>
      <c r="Q11" s="51" t="str">
        <f t="shared" si="3"/>
        <v/>
      </c>
      <c r="R11" s="38"/>
      <c r="S11" s="38"/>
      <c r="T11" s="37" t="str">
        <f>IF(COUNTIF(S2:S33,S11) &gt; 0, COUNTIF(S2:S33,S11), "")</f>
        <v/>
      </c>
      <c r="U11" s="49" t="str">
        <f t="shared" si="4"/>
        <v/>
      </c>
      <c r="V11" s="1"/>
      <c r="W11" s="1"/>
      <c r="X11" s="4" t="str">
        <f>IF(COUNTIF(W2:W33,W11) &gt; 0, COUNTIF(W2:W33,W11), "")</f>
        <v/>
      </c>
      <c r="Y11" s="51" t="str">
        <f t="shared" si="5"/>
        <v/>
      </c>
      <c r="Z11" s="38"/>
      <c r="AA11" s="38"/>
      <c r="AB11" s="37" t="str">
        <f>IF(COUNTIF(AA2:AA33,AA11) &gt; 0, COUNTIF(AA2:AA33,AA11), "")</f>
        <v/>
      </c>
      <c r="AC11" s="49" t="str">
        <f t="shared" si="6"/>
        <v/>
      </c>
      <c r="AD11" s="1"/>
      <c r="AE11" s="1"/>
      <c r="AF11" s="4" t="str">
        <f>IF(COUNTIF(AE2:AE33,AE11) &gt; 0, COUNTIF(AE2:AE33,AE11), "")</f>
        <v/>
      </c>
      <c r="AG11" s="51" t="str">
        <f t="shared" si="7"/>
        <v/>
      </c>
      <c r="AH11" s="38"/>
      <c r="AI11" s="38"/>
      <c r="AJ11" s="37" t="str">
        <f>IF(COUNTIF(AI2:AI33,AI11) &gt; 0, COUNTIF(AI2:AI33,AI11), "")</f>
        <v/>
      </c>
      <c r="AK11" s="49" t="str">
        <f t="shared" si="8"/>
        <v/>
      </c>
      <c r="AL11" s="1"/>
      <c r="AM11" s="1"/>
      <c r="AN11" s="4" t="str">
        <f>IF(COUNTIF(AM2:AM33,AM11) &gt; 0, COUNTIF(AM2:AM33,AM11), "")</f>
        <v/>
      </c>
      <c r="AO11" s="51" t="str">
        <f t="shared" si="9"/>
        <v/>
      </c>
      <c r="AP11" s="38"/>
      <c r="AQ11" s="38"/>
      <c r="AR11" s="37" t="str">
        <f>IF(COUNTIF(AQ2:AQ33,AQ11) &gt; 0, COUNTIF(AQ2:AQ33,AQ11), "")</f>
        <v/>
      </c>
      <c r="AS11" s="49" t="str">
        <f t="shared" si="10"/>
        <v/>
      </c>
      <c r="AT11" s="1"/>
      <c r="AU11" s="1"/>
      <c r="AV11" s="4" t="str">
        <f>IF(COUNTIF(AU2:AU33,AU11) &gt; 0, COUNTIF(AU2:AU33,AU11), "")</f>
        <v/>
      </c>
      <c r="AW11" s="51" t="str">
        <f t="shared" si="11"/>
        <v/>
      </c>
      <c r="AX11" s="38"/>
      <c r="AY11" s="38"/>
      <c r="AZ11" s="37" t="str">
        <f>IF(COUNTIF(AY2:AY33,AY11) &gt; 0, COUNTIF(AY2:AY33,AY11), "")</f>
        <v/>
      </c>
      <c r="BA11" s="49" t="str">
        <f t="shared" si="12"/>
        <v/>
      </c>
      <c r="BB11" s="1"/>
      <c r="BC11" s="1"/>
      <c r="BD11" s="4" t="str">
        <f>IF(COUNTIF(BC2:BC33,BC11) &gt; 0, COUNTIF(BC2:BC33,BC11), "")</f>
        <v/>
      </c>
      <c r="BE11" s="51" t="str">
        <f t="shared" si="13"/>
        <v/>
      </c>
      <c r="BF11" s="38"/>
      <c r="BG11" s="38"/>
      <c r="BH11" s="37" t="str">
        <f>IF(COUNTIF(BG2:BG33,BG11) &gt; 0, COUNTIF(BG2:BG33,BG11), "")</f>
        <v/>
      </c>
      <c r="BI11" s="49" t="str">
        <f t="shared" si="14"/>
        <v/>
      </c>
      <c r="BJ11" s="1"/>
      <c r="BK11" s="1"/>
      <c r="BL11" s="4" t="str">
        <f>IF(COUNTIF(BK2:BK33,BK11) &gt; 0, COUNTIF(BK2:BK33,BK11), "")</f>
        <v/>
      </c>
      <c r="BM11" s="51" t="str">
        <f t="shared" si="15"/>
        <v/>
      </c>
      <c r="BN11" s="38"/>
      <c r="BO11" s="38"/>
      <c r="BP11" s="37" t="str">
        <f>IF(COUNTIF(BO2:BO33,BO11) &gt; 0, COUNTIF(BO2:BO33,BO11), "")</f>
        <v/>
      </c>
      <c r="BQ11" s="49" t="str">
        <f t="shared" si="16"/>
        <v/>
      </c>
      <c r="BR11" s="1"/>
      <c r="BS11" s="1"/>
      <c r="BT11" s="4" t="str">
        <f>IF(COUNTIF(BS2:BS33,BS11) &gt; 0, COUNTIF(BS2:BS33,BS11), "")</f>
        <v/>
      </c>
      <c r="BU11" s="51" t="str">
        <f t="shared" si="17"/>
        <v/>
      </c>
      <c r="BV11" s="38"/>
      <c r="BW11" s="38"/>
      <c r="BX11" s="37" t="str">
        <f>IF(COUNTIF(BW2:BW33,BW11) &gt; 0, COUNTIF(BW2:BW33,BW11), "")</f>
        <v/>
      </c>
      <c r="BY11" s="49" t="str">
        <f t="shared" si="18"/>
        <v/>
      </c>
      <c r="BZ11" s="1"/>
      <c r="CA11" s="1"/>
      <c r="CB11" s="4" t="str">
        <f>IF(COUNTIF(CA2:CA33,CA11) &gt; 0, COUNTIF(CA2:CA33,CA11), "")</f>
        <v/>
      </c>
      <c r="CC11" s="51" t="str">
        <f t="shared" si="19"/>
        <v/>
      </c>
      <c r="CD11" s="6" t="str">
        <f t="shared" si="20"/>
        <v/>
      </c>
      <c r="CE11" s="46">
        <f>32-(COUNTIF(A2:A33,""))</f>
        <v>0</v>
      </c>
    </row>
    <row r="12" spans="1:84" x14ac:dyDescent="0.25">
      <c r="A12" s="2" t="str">
        <f>IF('Score joueurs'!A12="","", 'Score joueurs'!A12)</f>
        <v/>
      </c>
      <c r="B12" s="38"/>
      <c r="C12" s="38"/>
      <c r="D12" s="37" t="str">
        <f>IF(COUNTIF(C2:C33,C12) &gt; 0, COUNTIF(C2:C33,C12), "")</f>
        <v/>
      </c>
      <c r="E12" s="49" t="str">
        <f t="shared" si="0"/>
        <v/>
      </c>
      <c r="F12" s="4"/>
      <c r="G12" s="4"/>
      <c r="H12" s="4" t="str">
        <f>IF(COUNTIF(G2:G33,G12) &gt; 0, COUNTIF(G2:G33,G12), "")</f>
        <v/>
      </c>
      <c r="I12" s="51" t="str">
        <f t="shared" si="1"/>
        <v/>
      </c>
      <c r="J12" s="37"/>
      <c r="K12" s="37"/>
      <c r="L12" s="37" t="str">
        <f>IF(COUNTIF(K2:K33,K12) &gt; 0, COUNTIF(K2:K33,K12), "")</f>
        <v/>
      </c>
      <c r="M12" s="49" t="str">
        <f t="shared" si="2"/>
        <v/>
      </c>
      <c r="N12" s="4"/>
      <c r="O12" s="4"/>
      <c r="P12" s="4" t="str">
        <f>IF(COUNTIF(O2:O33,O12) &gt; 0, COUNTIF(O2:O33,O12), "")</f>
        <v/>
      </c>
      <c r="Q12" s="51" t="str">
        <f t="shared" si="3"/>
        <v/>
      </c>
      <c r="R12" s="37"/>
      <c r="S12" s="37"/>
      <c r="T12" s="37" t="str">
        <f>IF(COUNTIF(S2:S33,S12) &gt; 0, COUNTIF(S2:S33,S12), "")</f>
        <v/>
      </c>
      <c r="U12" s="49" t="str">
        <f t="shared" si="4"/>
        <v/>
      </c>
      <c r="V12" s="4"/>
      <c r="W12" s="4"/>
      <c r="X12" s="4" t="str">
        <f>IF(COUNTIF(W2:W33,W12) &gt; 0, COUNTIF(W2:W33,W12), "")</f>
        <v/>
      </c>
      <c r="Y12" s="51" t="str">
        <f t="shared" si="5"/>
        <v/>
      </c>
      <c r="Z12" s="37"/>
      <c r="AA12" s="37"/>
      <c r="AB12" s="37" t="str">
        <f>IF(COUNTIF(AA2:AA33,AA12) &gt; 0, COUNTIF(AA2:AA33,AA12), "")</f>
        <v/>
      </c>
      <c r="AC12" s="49" t="str">
        <f t="shared" si="6"/>
        <v/>
      </c>
      <c r="AD12" s="4"/>
      <c r="AE12" s="4"/>
      <c r="AF12" s="4" t="str">
        <f>IF(COUNTIF(AE2:AE33,AE12) &gt; 0, COUNTIF(AE2:AE33,AE12), "")</f>
        <v/>
      </c>
      <c r="AG12" s="51" t="str">
        <f t="shared" si="7"/>
        <v/>
      </c>
      <c r="AH12" s="37"/>
      <c r="AI12" s="37"/>
      <c r="AJ12" s="37" t="str">
        <f>IF(COUNTIF(AI2:AI33,AI12) &gt; 0, COUNTIF(AI2:AI33,AI12), "")</f>
        <v/>
      </c>
      <c r="AK12" s="49" t="str">
        <f t="shared" si="8"/>
        <v/>
      </c>
      <c r="AL12" s="4"/>
      <c r="AM12" s="4"/>
      <c r="AN12" s="4" t="str">
        <f>IF(COUNTIF(AM2:AM33,AM12) &gt; 0, COUNTIF(AM2:AM33,AM12), "")</f>
        <v/>
      </c>
      <c r="AO12" s="51" t="str">
        <f t="shared" si="9"/>
        <v/>
      </c>
      <c r="AP12" s="37"/>
      <c r="AQ12" s="37"/>
      <c r="AR12" s="37" t="str">
        <f>IF(COUNTIF(AQ2:AQ33,AQ12) &gt; 0, COUNTIF(AQ2:AQ33,AQ12), "")</f>
        <v/>
      </c>
      <c r="AS12" s="49" t="str">
        <f t="shared" si="10"/>
        <v/>
      </c>
      <c r="AT12" s="4"/>
      <c r="AU12" s="4"/>
      <c r="AV12" s="4" t="str">
        <f>IF(COUNTIF(AU2:AU33,AU12) &gt; 0, COUNTIF(AU2:AU33,AU12), "")</f>
        <v/>
      </c>
      <c r="AW12" s="51" t="str">
        <f t="shared" si="11"/>
        <v/>
      </c>
      <c r="AX12" s="37"/>
      <c r="AY12" s="37"/>
      <c r="AZ12" s="37" t="str">
        <f>IF(COUNTIF(AY2:AY33,AY12) &gt; 0, COUNTIF(AY2:AY33,AY12), "")</f>
        <v/>
      </c>
      <c r="BA12" s="49" t="str">
        <f t="shared" si="12"/>
        <v/>
      </c>
      <c r="BB12" s="4"/>
      <c r="BC12" s="4"/>
      <c r="BD12" s="4" t="str">
        <f>IF(COUNTIF(BC2:BC33,BC12) &gt; 0, COUNTIF(BC2:BC33,BC12), "")</f>
        <v/>
      </c>
      <c r="BE12" s="51" t="str">
        <f t="shared" si="13"/>
        <v/>
      </c>
      <c r="BF12" s="37"/>
      <c r="BG12" s="37"/>
      <c r="BH12" s="37" t="str">
        <f>IF(COUNTIF(BG2:BG33,BG12) &gt; 0, COUNTIF(BG2:BG33,BG12), "")</f>
        <v/>
      </c>
      <c r="BI12" s="49" t="str">
        <f t="shared" si="14"/>
        <v/>
      </c>
      <c r="BJ12" s="4"/>
      <c r="BK12" s="4"/>
      <c r="BL12" s="4" t="str">
        <f>IF(COUNTIF(BK2:BK33,BK12) &gt; 0, COUNTIF(BK2:BK33,BK12), "")</f>
        <v/>
      </c>
      <c r="BM12" s="51" t="str">
        <f t="shared" si="15"/>
        <v/>
      </c>
      <c r="BN12" s="37"/>
      <c r="BO12" s="37"/>
      <c r="BP12" s="37" t="str">
        <f>IF(COUNTIF(BO2:BO33,BO12) &gt; 0, COUNTIF(BO2:BO33,BO12), "")</f>
        <v/>
      </c>
      <c r="BQ12" s="49" t="str">
        <f t="shared" si="16"/>
        <v/>
      </c>
      <c r="BR12" s="4"/>
      <c r="BS12" s="4"/>
      <c r="BT12" s="4" t="str">
        <f>IF(COUNTIF(BS2:BS33,BS12) &gt; 0, COUNTIF(BS2:BS33,BS12), "")</f>
        <v/>
      </c>
      <c r="BU12" s="51" t="str">
        <f t="shared" si="17"/>
        <v/>
      </c>
      <c r="BV12" s="37"/>
      <c r="BW12" s="37"/>
      <c r="BX12" s="37" t="str">
        <f>IF(COUNTIF(BW2:BW33,BW12) &gt; 0, COUNTIF(BW2:BW33,BW12), "")</f>
        <v/>
      </c>
      <c r="BY12" s="49" t="str">
        <f t="shared" si="18"/>
        <v/>
      </c>
      <c r="BZ12" s="4"/>
      <c r="CA12" s="4"/>
      <c r="CB12" s="4" t="str">
        <f>IF(COUNTIF(CA2:CA33,CA12) &gt; 0, COUNTIF(CA2:CA33,CA12), "")</f>
        <v/>
      </c>
      <c r="CC12" s="51" t="str">
        <f t="shared" si="19"/>
        <v/>
      </c>
      <c r="CD12" s="6" t="str">
        <f t="shared" si="20"/>
        <v/>
      </c>
      <c r="CE12" s="46">
        <f>32-(COUNTIF(A2:A33,""))</f>
        <v>0</v>
      </c>
    </row>
    <row r="13" spans="1:84" x14ac:dyDescent="0.25">
      <c r="A13" s="2" t="str">
        <f>IF('Score joueurs'!A13="","", 'Score joueurs'!A13)</f>
        <v/>
      </c>
      <c r="B13" s="37"/>
      <c r="C13" s="37"/>
      <c r="D13" s="37" t="str">
        <f>IF(COUNTIF(C2:C33,C13) &gt; 0, COUNTIF(C2:C33,C13), "")</f>
        <v/>
      </c>
      <c r="E13" s="49" t="str">
        <f t="shared" si="0"/>
        <v/>
      </c>
      <c r="F13" s="1"/>
      <c r="G13" s="1"/>
      <c r="H13" s="4" t="str">
        <f>IF(COUNTIF(G2:G33,G13) &gt; 0, COUNTIF(G2:G33,G13), "")</f>
        <v/>
      </c>
      <c r="I13" s="51" t="str">
        <f t="shared" si="1"/>
        <v/>
      </c>
      <c r="J13" s="38"/>
      <c r="K13" s="38"/>
      <c r="L13" s="37" t="str">
        <f>IF(COUNTIF(K2:K33,K13) &gt; 0, COUNTIF(K2:K33,K13), "")</f>
        <v/>
      </c>
      <c r="M13" s="49" t="str">
        <f t="shared" si="2"/>
        <v/>
      </c>
      <c r="N13" s="1"/>
      <c r="O13" s="1"/>
      <c r="P13" s="4" t="str">
        <f>IF(COUNTIF(O2:O33,O13) &gt; 0, COUNTIF(O2:O33,O13), "")</f>
        <v/>
      </c>
      <c r="Q13" s="51" t="str">
        <f t="shared" si="3"/>
        <v/>
      </c>
      <c r="R13" s="38"/>
      <c r="S13" s="38"/>
      <c r="T13" s="37" t="str">
        <f>IF(COUNTIF(S2:S33,S13) &gt; 0, COUNTIF(S2:S33,S13), "")</f>
        <v/>
      </c>
      <c r="U13" s="49" t="str">
        <f t="shared" si="4"/>
        <v/>
      </c>
      <c r="V13" s="1"/>
      <c r="W13" s="1"/>
      <c r="X13" s="4" t="str">
        <f>IF(COUNTIF(W2:W33,W13) &gt; 0, COUNTIF(W2:W33,W13), "")</f>
        <v/>
      </c>
      <c r="Y13" s="51" t="str">
        <f t="shared" si="5"/>
        <v/>
      </c>
      <c r="Z13" s="38"/>
      <c r="AA13" s="38"/>
      <c r="AB13" s="37" t="str">
        <f>IF(COUNTIF(AA2:AA33,AA13) &gt; 0, COUNTIF(AA2:AA33,AA13), "")</f>
        <v/>
      </c>
      <c r="AC13" s="49" t="str">
        <f t="shared" si="6"/>
        <v/>
      </c>
      <c r="AD13" s="1"/>
      <c r="AE13" s="1"/>
      <c r="AF13" s="4" t="str">
        <f>IF(COUNTIF(AE2:AE33,AE13) &gt; 0, COUNTIF(AE2:AE33,AE13), "")</f>
        <v/>
      </c>
      <c r="AG13" s="51" t="str">
        <f t="shared" si="7"/>
        <v/>
      </c>
      <c r="AH13" s="38"/>
      <c r="AI13" s="38"/>
      <c r="AJ13" s="37" t="str">
        <f>IF(COUNTIF(AI2:AI33,AI13) &gt; 0, COUNTIF(AI2:AI33,AI13), "")</f>
        <v/>
      </c>
      <c r="AK13" s="49" t="str">
        <f t="shared" si="8"/>
        <v/>
      </c>
      <c r="AL13" s="1"/>
      <c r="AM13" s="1"/>
      <c r="AN13" s="4" t="str">
        <f>IF(COUNTIF(AM2:AM33,AM13) &gt; 0, COUNTIF(AM2:AM33,AM13), "")</f>
        <v/>
      </c>
      <c r="AO13" s="51" t="str">
        <f t="shared" si="9"/>
        <v/>
      </c>
      <c r="AP13" s="38"/>
      <c r="AQ13" s="38"/>
      <c r="AR13" s="37" t="str">
        <f>IF(COUNTIF(AQ2:AQ33,AQ13) &gt; 0, COUNTIF(AQ2:AQ33,AQ13), "")</f>
        <v/>
      </c>
      <c r="AS13" s="49" t="str">
        <f t="shared" si="10"/>
        <v/>
      </c>
      <c r="AT13" s="1"/>
      <c r="AU13" s="1"/>
      <c r="AV13" s="4" t="str">
        <f>IF(COUNTIF(AU2:AU33,AU13) &gt; 0, COUNTIF(AU2:AU33,AU13), "")</f>
        <v/>
      </c>
      <c r="AW13" s="51" t="str">
        <f t="shared" si="11"/>
        <v/>
      </c>
      <c r="AX13" s="38"/>
      <c r="AY13" s="38"/>
      <c r="AZ13" s="37" t="str">
        <f>IF(COUNTIF(AY2:AY33,AY13) &gt; 0, COUNTIF(AY2:AY33,AY13), "")</f>
        <v/>
      </c>
      <c r="BA13" s="49" t="str">
        <f t="shared" si="12"/>
        <v/>
      </c>
      <c r="BB13" s="1"/>
      <c r="BC13" s="1"/>
      <c r="BD13" s="4" t="str">
        <f>IF(COUNTIF(BC2:BC33,BC13) &gt; 0, COUNTIF(BC2:BC33,BC13), "")</f>
        <v/>
      </c>
      <c r="BE13" s="51" t="str">
        <f t="shared" si="13"/>
        <v/>
      </c>
      <c r="BF13" s="38"/>
      <c r="BG13" s="38"/>
      <c r="BH13" s="37" t="str">
        <f>IF(COUNTIF(BG2:BG33,BG13) &gt; 0, COUNTIF(BG2:BG33,BG13), "")</f>
        <v/>
      </c>
      <c r="BI13" s="49" t="str">
        <f t="shared" si="14"/>
        <v/>
      </c>
      <c r="BJ13" s="1"/>
      <c r="BK13" s="1"/>
      <c r="BL13" s="4" t="str">
        <f>IF(COUNTIF(BK2:BK33,BK13) &gt; 0, COUNTIF(BK2:BK33,BK13), "")</f>
        <v/>
      </c>
      <c r="BM13" s="51" t="str">
        <f t="shared" si="15"/>
        <v/>
      </c>
      <c r="BN13" s="38"/>
      <c r="BO13" s="38"/>
      <c r="BP13" s="37" t="str">
        <f>IF(COUNTIF(BO2:BO33,BO13) &gt; 0, COUNTIF(BO2:BO33,BO13), "")</f>
        <v/>
      </c>
      <c r="BQ13" s="49" t="str">
        <f t="shared" si="16"/>
        <v/>
      </c>
      <c r="BR13" s="1"/>
      <c r="BS13" s="1"/>
      <c r="BT13" s="4" t="str">
        <f>IF(COUNTIF(BS2:BS33,BS13) &gt; 0, COUNTIF(BS2:BS33,BS13), "")</f>
        <v/>
      </c>
      <c r="BU13" s="51" t="str">
        <f t="shared" si="17"/>
        <v/>
      </c>
      <c r="BV13" s="38"/>
      <c r="BW13" s="38"/>
      <c r="BX13" s="37" t="str">
        <f>IF(COUNTIF(BW2:BW33,BW13) &gt; 0, COUNTIF(BW2:BW33,BW13), "")</f>
        <v/>
      </c>
      <c r="BY13" s="49" t="str">
        <f t="shared" si="18"/>
        <v/>
      </c>
      <c r="BZ13" s="1"/>
      <c r="CA13" s="1"/>
      <c r="CB13" s="4" t="str">
        <f>IF(COUNTIF(CA2:CA33,CA13) &gt; 0, COUNTIF(CA2:CA33,CA13), "")</f>
        <v/>
      </c>
      <c r="CC13" s="51" t="str">
        <f t="shared" si="19"/>
        <v/>
      </c>
      <c r="CD13" s="6" t="str">
        <f t="shared" si="20"/>
        <v/>
      </c>
      <c r="CE13" s="46">
        <f>32-(COUNTIF(A2:A33,""))</f>
        <v>0</v>
      </c>
    </row>
    <row r="14" spans="1:84" x14ac:dyDescent="0.25">
      <c r="A14" s="2" t="str">
        <f>IF('Score joueurs'!A14="","", 'Score joueurs'!A14)</f>
        <v/>
      </c>
      <c r="B14" s="37"/>
      <c r="C14" s="37"/>
      <c r="D14" s="37" t="str">
        <f>IF(COUNTIF(C2:C33,C14) &gt; 0, COUNTIF(C2:C33,C14), "")</f>
        <v/>
      </c>
      <c r="E14" s="49" t="str">
        <f t="shared" si="0"/>
        <v/>
      </c>
      <c r="F14" s="4"/>
      <c r="G14" s="4"/>
      <c r="H14" s="4" t="str">
        <f>IF(COUNTIF(G2:G33,G14) &gt; 0, COUNTIF(G2:G33,G14), "")</f>
        <v/>
      </c>
      <c r="I14" s="51" t="str">
        <f t="shared" si="1"/>
        <v/>
      </c>
      <c r="J14" s="37"/>
      <c r="K14" s="37"/>
      <c r="L14" s="37" t="str">
        <f>IF(COUNTIF(K2:K33,K14) &gt; 0, COUNTIF(K2:K33,K14), "")</f>
        <v/>
      </c>
      <c r="M14" s="49" t="str">
        <f t="shared" si="2"/>
        <v/>
      </c>
      <c r="N14" s="4"/>
      <c r="O14" s="4"/>
      <c r="P14" s="4" t="str">
        <f>IF(COUNTIF(O2:O33,O14) &gt; 0, COUNTIF(O2:O33,O14), "")</f>
        <v/>
      </c>
      <c r="Q14" s="51" t="str">
        <f t="shared" si="3"/>
        <v/>
      </c>
      <c r="R14" s="37"/>
      <c r="S14" s="37"/>
      <c r="T14" s="37" t="str">
        <f>IF(COUNTIF(S2:S33,S14) &gt; 0, COUNTIF(S2:S33,S14), "")</f>
        <v/>
      </c>
      <c r="U14" s="49" t="str">
        <f t="shared" si="4"/>
        <v/>
      </c>
      <c r="V14" s="4"/>
      <c r="W14" s="4"/>
      <c r="X14" s="4" t="str">
        <f>IF(COUNTIF(W2:W33,W14) &gt; 0, COUNTIF(W2:W33,W14), "")</f>
        <v/>
      </c>
      <c r="Y14" s="51" t="str">
        <f t="shared" si="5"/>
        <v/>
      </c>
      <c r="Z14" s="37"/>
      <c r="AA14" s="37"/>
      <c r="AB14" s="37" t="str">
        <f>IF(COUNTIF(AA2:AA33,AA14) &gt; 0, COUNTIF(AA2:AA33,AA14), "")</f>
        <v/>
      </c>
      <c r="AC14" s="49" t="str">
        <f t="shared" si="6"/>
        <v/>
      </c>
      <c r="AD14" s="4"/>
      <c r="AE14" s="4"/>
      <c r="AF14" s="4" t="str">
        <f>IF(COUNTIF(AE2:AE33,AE14) &gt; 0, COUNTIF(AE2:AE33,AE14), "")</f>
        <v/>
      </c>
      <c r="AG14" s="51" t="str">
        <f t="shared" si="7"/>
        <v/>
      </c>
      <c r="AH14" s="37"/>
      <c r="AI14" s="37"/>
      <c r="AJ14" s="37" t="str">
        <f>IF(COUNTIF(AI2:AI33,AI14) &gt; 0, COUNTIF(AI2:AI33,AI14), "")</f>
        <v/>
      </c>
      <c r="AK14" s="49" t="str">
        <f t="shared" si="8"/>
        <v/>
      </c>
      <c r="AL14" s="4"/>
      <c r="AM14" s="4"/>
      <c r="AN14" s="4" t="str">
        <f>IF(COUNTIF(AM2:AM33,AM14) &gt; 0, COUNTIF(AM2:AM33,AM14), "")</f>
        <v/>
      </c>
      <c r="AO14" s="51" t="str">
        <f t="shared" si="9"/>
        <v/>
      </c>
      <c r="AP14" s="37"/>
      <c r="AQ14" s="37"/>
      <c r="AR14" s="37" t="str">
        <f>IF(COUNTIF(AQ2:AQ33,AQ14) &gt; 0, COUNTIF(AQ2:AQ33,AQ14), "")</f>
        <v/>
      </c>
      <c r="AS14" s="49" t="str">
        <f t="shared" si="10"/>
        <v/>
      </c>
      <c r="AT14" s="4"/>
      <c r="AU14" s="4"/>
      <c r="AV14" s="4" t="str">
        <f>IF(COUNTIF(AU2:AU33,AU14) &gt; 0, COUNTIF(AU2:AU33,AU14), "")</f>
        <v/>
      </c>
      <c r="AW14" s="51" t="str">
        <f t="shared" si="11"/>
        <v/>
      </c>
      <c r="AX14" s="37"/>
      <c r="AY14" s="37"/>
      <c r="AZ14" s="37" t="str">
        <f>IF(COUNTIF(AY2:AY33,AY14) &gt; 0, COUNTIF(AY2:AY33,AY14), "")</f>
        <v/>
      </c>
      <c r="BA14" s="49" t="str">
        <f t="shared" si="12"/>
        <v/>
      </c>
      <c r="BB14" s="4"/>
      <c r="BC14" s="4"/>
      <c r="BD14" s="4" t="str">
        <f>IF(COUNTIF(BC2:BC33,BC14) &gt; 0, COUNTIF(BC2:BC33,BC14), "")</f>
        <v/>
      </c>
      <c r="BE14" s="51" t="str">
        <f t="shared" si="13"/>
        <v/>
      </c>
      <c r="BF14" s="37"/>
      <c r="BG14" s="37"/>
      <c r="BH14" s="37" t="str">
        <f>IF(COUNTIF(BG2:BG33,BG14) &gt; 0, COUNTIF(BG2:BG33,BG14), "")</f>
        <v/>
      </c>
      <c r="BI14" s="49" t="str">
        <f t="shared" si="14"/>
        <v/>
      </c>
      <c r="BJ14" s="4"/>
      <c r="BK14" s="4"/>
      <c r="BL14" s="4" t="str">
        <f>IF(COUNTIF(BK2:BK33,BK14) &gt; 0, COUNTIF(BK2:BK33,BK14), "")</f>
        <v/>
      </c>
      <c r="BM14" s="51" t="str">
        <f t="shared" si="15"/>
        <v/>
      </c>
      <c r="BN14" s="37"/>
      <c r="BO14" s="37"/>
      <c r="BP14" s="37" t="str">
        <f>IF(COUNTIF(BO2:BO33,BO14) &gt; 0, COUNTIF(BO2:BO33,BO14), "")</f>
        <v/>
      </c>
      <c r="BQ14" s="49" t="str">
        <f t="shared" si="16"/>
        <v/>
      </c>
      <c r="BR14" s="4"/>
      <c r="BS14" s="4"/>
      <c r="BT14" s="4" t="str">
        <f>IF(COUNTIF(BS2:BS33,BS14) &gt; 0, COUNTIF(BS2:BS33,BS14), "")</f>
        <v/>
      </c>
      <c r="BU14" s="51" t="str">
        <f t="shared" si="17"/>
        <v/>
      </c>
      <c r="BV14" s="37"/>
      <c r="BW14" s="37"/>
      <c r="BX14" s="37" t="str">
        <f>IF(COUNTIF(BW2:BW33,BW14) &gt; 0, COUNTIF(BW2:BW33,BW14), "")</f>
        <v/>
      </c>
      <c r="BY14" s="49" t="str">
        <f t="shared" si="18"/>
        <v/>
      </c>
      <c r="BZ14" s="4"/>
      <c r="CA14" s="4"/>
      <c r="CB14" s="4" t="str">
        <f>IF(COUNTIF(CA2:CA33,CA14) &gt; 0, COUNTIF(CA2:CA33,CA14), "")</f>
        <v/>
      </c>
      <c r="CC14" s="51" t="str">
        <f t="shared" si="19"/>
        <v/>
      </c>
      <c r="CD14" s="6" t="str">
        <f t="shared" si="20"/>
        <v/>
      </c>
      <c r="CE14" s="46">
        <f>32-(COUNTIF(A2:A33,""))</f>
        <v>0</v>
      </c>
    </row>
    <row r="15" spans="1:84" x14ac:dyDescent="0.25">
      <c r="A15" s="2" t="str">
        <f>IF('Score joueurs'!A15="","", 'Score joueurs'!A15)</f>
        <v/>
      </c>
      <c r="B15" s="38"/>
      <c r="C15" s="38"/>
      <c r="D15" s="37" t="str">
        <f>IF(COUNTIF(C2:C33,C15) &gt; 0, COUNTIF(C2:C33,C15), "")</f>
        <v/>
      </c>
      <c r="E15" s="49" t="str">
        <f t="shared" si="0"/>
        <v/>
      </c>
      <c r="F15" s="1"/>
      <c r="G15" s="1"/>
      <c r="H15" s="4" t="str">
        <f>IF(COUNTIF(G2:G33,G15) &gt; 0, COUNTIF(G2:G33,G15), "")</f>
        <v/>
      </c>
      <c r="I15" s="51" t="str">
        <f t="shared" si="1"/>
        <v/>
      </c>
      <c r="J15" s="38"/>
      <c r="K15" s="38"/>
      <c r="L15" s="37" t="str">
        <f>IF(COUNTIF(K2:K33,K15) &gt; 0, COUNTIF(K2:K33,K15), "")</f>
        <v/>
      </c>
      <c r="M15" s="49" t="str">
        <f t="shared" si="2"/>
        <v/>
      </c>
      <c r="N15" s="1"/>
      <c r="O15" s="1"/>
      <c r="P15" s="4" t="str">
        <f>IF(COUNTIF(O2:O33,O15) &gt; 0, COUNTIF(O2:O33,O15), "")</f>
        <v/>
      </c>
      <c r="Q15" s="51" t="str">
        <f t="shared" si="3"/>
        <v/>
      </c>
      <c r="R15" s="38"/>
      <c r="S15" s="38"/>
      <c r="T15" s="37" t="str">
        <f>IF(COUNTIF(S2:S33,S15) &gt; 0, COUNTIF(S2:S33,S15), "")</f>
        <v/>
      </c>
      <c r="U15" s="49" t="str">
        <f t="shared" si="4"/>
        <v/>
      </c>
      <c r="V15" s="1"/>
      <c r="W15" s="1"/>
      <c r="X15" s="4" t="str">
        <f>IF(COUNTIF(W2:W33,W15) &gt; 0, COUNTIF(W2:W33,W15), "")</f>
        <v/>
      </c>
      <c r="Y15" s="51" t="str">
        <f t="shared" si="5"/>
        <v/>
      </c>
      <c r="Z15" s="38"/>
      <c r="AA15" s="38"/>
      <c r="AB15" s="37" t="str">
        <f>IF(COUNTIF(AA2:AA33,AA15) &gt; 0, COUNTIF(AA2:AA33,AA15), "")</f>
        <v/>
      </c>
      <c r="AC15" s="49" t="str">
        <f t="shared" si="6"/>
        <v/>
      </c>
      <c r="AD15" s="1"/>
      <c r="AE15" s="1"/>
      <c r="AF15" s="4" t="str">
        <f>IF(COUNTIF(AE2:AE33,AE15) &gt; 0, COUNTIF(AE2:AE33,AE15), "")</f>
        <v/>
      </c>
      <c r="AG15" s="51" t="str">
        <f t="shared" si="7"/>
        <v/>
      </c>
      <c r="AH15" s="38"/>
      <c r="AI15" s="38"/>
      <c r="AJ15" s="37" t="str">
        <f>IF(COUNTIF(AI2:AI33,AI15) &gt; 0, COUNTIF(AI2:AI33,AI15), "")</f>
        <v/>
      </c>
      <c r="AK15" s="49" t="str">
        <f t="shared" si="8"/>
        <v/>
      </c>
      <c r="AL15" s="1"/>
      <c r="AM15" s="1"/>
      <c r="AN15" s="4" t="str">
        <f>IF(COUNTIF(AM2:AM33,AM15) &gt; 0, COUNTIF(AM2:AM33,AM15), "")</f>
        <v/>
      </c>
      <c r="AO15" s="51" t="str">
        <f t="shared" si="9"/>
        <v/>
      </c>
      <c r="AP15" s="38"/>
      <c r="AQ15" s="38"/>
      <c r="AR15" s="37" t="str">
        <f>IF(COUNTIF(AQ2:AQ33,AQ15) &gt; 0, COUNTIF(AQ2:AQ33,AQ15), "")</f>
        <v/>
      </c>
      <c r="AS15" s="49" t="str">
        <f t="shared" si="10"/>
        <v/>
      </c>
      <c r="AT15" s="1"/>
      <c r="AU15" s="1"/>
      <c r="AV15" s="4" t="str">
        <f>IF(COUNTIF(AU2:AU33,AU15) &gt; 0, COUNTIF(AU2:AU33,AU15), "")</f>
        <v/>
      </c>
      <c r="AW15" s="51" t="str">
        <f t="shared" si="11"/>
        <v/>
      </c>
      <c r="AX15" s="38"/>
      <c r="AY15" s="38"/>
      <c r="AZ15" s="37" t="str">
        <f>IF(COUNTIF(AY2:AY33,AY15) &gt; 0, COUNTIF(AY2:AY33,AY15), "")</f>
        <v/>
      </c>
      <c r="BA15" s="49" t="str">
        <f t="shared" si="12"/>
        <v/>
      </c>
      <c r="BB15" s="1"/>
      <c r="BC15" s="1"/>
      <c r="BD15" s="4" t="str">
        <f>IF(COUNTIF(BC2:BC33,BC15) &gt; 0, COUNTIF(BC2:BC33,BC15), "")</f>
        <v/>
      </c>
      <c r="BE15" s="51" t="str">
        <f t="shared" si="13"/>
        <v/>
      </c>
      <c r="BF15" s="38"/>
      <c r="BG15" s="38"/>
      <c r="BH15" s="37" t="str">
        <f>IF(COUNTIF(BG2:BG33,BG15) &gt; 0, COUNTIF(BG2:BG33,BG15), "")</f>
        <v/>
      </c>
      <c r="BI15" s="49" t="str">
        <f t="shared" si="14"/>
        <v/>
      </c>
      <c r="BJ15" s="1"/>
      <c r="BK15" s="1"/>
      <c r="BL15" s="4" t="str">
        <f>IF(COUNTIF(BK2:BK33,BK15) &gt; 0, COUNTIF(BK2:BK33,BK15), "")</f>
        <v/>
      </c>
      <c r="BM15" s="51" t="str">
        <f t="shared" si="15"/>
        <v/>
      </c>
      <c r="BN15" s="38"/>
      <c r="BO15" s="38"/>
      <c r="BP15" s="37" t="str">
        <f>IF(COUNTIF(BO2:BO33,BO15) &gt; 0, COUNTIF(BO2:BO33,BO15), "")</f>
        <v/>
      </c>
      <c r="BQ15" s="49" t="str">
        <f t="shared" si="16"/>
        <v/>
      </c>
      <c r="BR15" s="1"/>
      <c r="BS15" s="1"/>
      <c r="BT15" s="4" t="str">
        <f>IF(COUNTIF(BS2:BS33,BS15) &gt; 0, COUNTIF(BS2:BS33,BS15), "")</f>
        <v/>
      </c>
      <c r="BU15" s="51" t="str">
        <f t="shared" si="17"/>
        <v/>
      </c>
      <c r="BV15" s="38"/>
      <c r="BW15" s="38"/>
      <c r="BX15" s="37" t="str">
        <f>IF(COUNTIF(BW2:BW33,BW15) &gt; 0, COUNTIF(BW2:BW33,BW15), "")</f>
        <v/>
      </c>
      <c r="BY15" s="49" t="str">
        <f t="shared" si="18"/>
        <v/>
      </c>
      <c r="BZ15" s="1"/>
      <c r="CA15" s="1"/>
      <c r="CB15" s="4" t="str">
        <f>IF(COUNTIF(CA2:CA33,CA15) &gt; 0, COUNTIF(CA2:CA33,CA15), "")</f>
        <v/>
      </c>
      <c r="CC15" s="51" t="str">
        <f t="shared" si="19"/>
        <v/>
      </c>
      <c r="CD15" s="6" t="str">
        <f t="shared" si="20"/>
        <v/>
      </c>
      <c r="CE15" s="46">
        <f>32-(COUNTIF(A2:A33,""))</f>
        <v>0</v>
      </c>
    </row>
    <row r="16" spans="1:84" x14ac:dyDescent="0.25">
      <c r="A16" s="2" t="str">
        <f>IF('Score joueurs'!A16="","", 'Score joueurs'!A16)</f>
        <v/>
      </c>
      <c r="B16" s="37"/>
      <c r="C16" s="37"/>
      <c r="D16" s="37" t="str">
        <f>IF(COUNTIF(C2:C33,C16) &gt; 0, COUNTIF(C2:C33,C16), "")</f>
        <v/>
      </c>
      <c r="E16" s="49" t="str">
        <f t="shared" si="0"/>
        <v/>
      </c>
      <c r="F16" s="4"/>
      <c r="G16" s="4"/>
      <c r="H16" s="4" t="str">
        <f>IF(COUNTIF(G2:G33,G16) &gt; 0, COUNTIF(G2:G33,G16), "")</f>
        <v/>
      </c>
      <c r="I16" s="51" t="str">
        <f t="shared" si="1"/>
        <v/>
      </c>
      <c r="J16" s="37"/>
      <c r="K16" s="37"/>
      <c r="L16" s="37" t="str">
        <f>IF(COUNTIF(K2:K33,K16) &gt; 0, COUNTIF(K2:K33,K16), "")</f>
        <v/>
      </c>
      <c r="M16" s="49" t="str">
        <f t="shared" si="2"/>
        <v/>
      </c>
      <c r="N16" s="4"/>
      <c r="O16" s="4"/>
      <c r="P16" s="4" t="str">
        <f>IF(COUNTIF(O2:O33,O16) &gt; 0, COUNTIF(O2:O33,O16), "")</f>
        <v/>
      </c>
      <c r="Q16" s="51" t="str">
        <f t="shared" si="3"/>
        <v/>
      </c>
      <c r="R16" s="37"/>
      <c r="S16" s="37"/>
      <c r="T16" s="37" t="str">
        <f>IF(COUNTIF(S2:S33,S16) &gt; 0, COUNTIF(S2:S33,S16), "")</f>
        <v/>
      </c>
      <c r="U16" s="49" t="str">
        <f t="shared" si="4"/>
        <v/>
      </c>
      <c r="V16" s="4"/>
      <c r="W16" s="4"/>
      <c r="X16" s="4" t="str">
        <f>IF(COUNTIF(W2:W33,W16) &gt; 0, COUNTIF(W2:W33,W16), "")</f>
        <v/>
      </c>
      <c r="Y16" s="51" t="str">
        <f t="shared" si="5"/>
        <v/>
      </c>
      <c r="Z16" s="37"/>
      <c r="AA16" s="37"/>
      <c r="AB16" s="37" t="str">
        <f>IF(COUNTIF(AA2:AA33,AA16) &gt; 0, COUNTIF(AA2:AA33,AA16), "")</f>
        <v/>
      </c>
      <c r="AC16" s="49" t="str">
        <f t="shared" si="6"/>
        <v/>
      </c>
      <c r="AD16" s="4"/>
      <c r="AE16" s="4"/>
      <c r="AF16" s="4" t="str">
        <f>IF(COUNTIF(AE2:AE33,AE16) &gt; 0, COUNTIF(AE2:AE33,AE16), "")</f>
        <v/>
      </c>
      <c r="AG16" s="51" t="str">
        <f t="shared" si="7"/>
        <v/>
      </c>
      <c r="AH16" s="37"/>
      <c r="AI16" s="37"/>
      <c r="AJ16" s="37" t="str">
        <f>IF(COUNTIF(AI2:AI33,AI16) &gt; 0, COUNTIF(AI2:AI33,AI16), "")</f>
        <v/>
      </c>
      <c r="AK16" s="49" t="str">
        <f t="shared" si="8"/>
        <v/>
      </c>
      <c r="AL16" s="4"/>
      <c r="AM16" s="4"/>
      <c r="AN16" s="4" t="str">
        <f>IF(COUNTIF(AM2:AM33,AM16) &gt; 0, COUNTIF(AM2:AM33,AM16), "")</f>
        <v/>
      </c>
      <c r="AO16" s="51" t="str">
        <f t="shared" si="9"/>
        <v/>
      </c>
      <c r="AP16" s="37"/>
      <c r="AQ16" s="37"/>
      <c r="AR16" s="37" t="str">
        <f>IF(COUNTIF(AQ2:AQ33,AQ16) &gt; 0, COUNTIF(AQ2:AQ33,AQ16), "")</f>
        <v/>
      </c>
      <c r="AS16" s="49" t="str">
        <f t="shared" si="10"/>
        <v/>
      </c>
      <c r="AT16" s="4"/>
      <c r="AU16" s="4"/>
      <c r="AV16" s="4" t="str">
        <f>IF(COUNTIF(AU2:AU33,AU16) &gt; 0, COUNTIF(AU2:AU33,AU16), "")</f>
        <v/>
      </c>
      <c r="AW16" s="51" t="str">
        <f t="shared" si="11"/>
        <v/>
      </c>
      <c r="AX16" s="37"/>
      <c r="AY16" s="37"/>
      <c r="AZ16" s="37" t="str">
        <f>IF(COUNTIF(AY2:AY33,AY16) &gt; 0, COUNTIF(AY2:AY33,AY16), "")</f>
        <v/>
      </c>
      <c r="BA16" s="49" t="str">
        <f t="shared" si="12"/>
        <v/>
      </c>
      <c r="BB16" s="4"/>
      <c r="BC16" s="4"/>
      <c r="BD16" s="4" t="str">
        <f>IF(COUNTIF(BC2:BC33,BC16) &gt; 0, COUNTIF(BC2:BC33,BC16), "")</f>
        <v/>
      </c>
      <c r="BE16" s="51" t="str">
        <f t="shared" si="13"/>
        <v/>
      </c>
      <c r="BF16" s="37"/>
      <c r="BG16" s="37"/>
      <c r="BH16" s="37" t="str">
        <f>IF(COUNTIF(BG2:BG33,BG16) &gt; 0, COUNTIF(BG2:BG33,BG16), "")</f>
        <v/>
      </c>
      <c r="BI16" s="49" t="str">
        <f t="shared" si="14"/>
        <v/>
      </c>
      <c r="BJ16" s="4"/>
      <c r="BK16" s="4"/>
      <c r="BL16" s="4" t="str">
        <f>IF(COUNTIF(BK2:BK33,BK16) &gt; 0, COUNTIF(BK2:BK33,BK16), "")</f>
        <v/>
      </c>
      <c r="BM16" s="51" t="str">
        <f t="shared" si="15"/>
        <v/>
      </c>
      <c r="BN16" s="37"/>
      <c r="BO16" s="37"/>
      <c r="BP16" s="37" t="str">
        <f>IF(COUNTIF(BO2:BO33,BO16) &gt; 0, COUNTIF(BO2:BO33,BO16), "")</f>
        <v/>
      </c>
      <c r="BQ16" s="49" t="str">
        <f t="shared" si="16"/>
        <v/>
      </c>
      <c r="BR16" s="4"/>
      <c r="BS16" s="4"/>
      <c r="BT16" s="4" t="str">
        <f>IF(COUNTIF(BS2:BS33,BS16) &gt; 0, COUNTIF(BS2:BS33,BS16), "")</f>
        <v/>
      </c>
      <c r="BU16" s="51" t="str">
        <f t="shared" si="17"/>
        <v/>
      </c>
      <c r="BV16" s="37"/>
      <c r="BW16" s="37"/>
      <c r="BX16" s="37" t="str">
        <f>IF(COUNTIF(BW2:BW33,BW16) &gt; 0, COUNTIF(BW2:BW33,BW16), "")</f>
        <v/>
      </c>
      <c r="BY16" s="49" t="str">
        <f t="shared" si="18"/>
        <v/>
      </c>
      <c r="BZ16" s="4"/>
      <c r="CA16" s="4"/>
      <c r="CB16" s="4" t="str">
        <f>IF(COUNTIF(CA2:CA33,CA16) &gt; 0, COUNTIF(CA2:CA33,CA16), "")</f>
        <v/>
      </c>
      <c r="CC16" s="51" t="str">
        <f t="shared" si="19"/>
        <v/>
      </c>
      <c r="CD16" s="6" t="str">
        <f t="shared" si="20"/>
        <v/>
      </c>
      <c r="CE16" s="46">
        <f>32-(COUNTIF(A2:A33,""))</f>
        <v>0</v>
      </c>
    </row>
    <row r="17" spans="1:83" x14ac:dyDescent="0.25">
      <c r="A17" s="2" t="str">
        <f>IF('Score joueurs'!A17="","", 'Score joueurs'!A17)</f>
        <v/>
      </c>
      <c r="B17" s="37"/>
      <c r="C17" s="37"/>
      <c r="D17" s="37" t="str">
        <f>IF(COUNTIF(C2:C33,C17) &gt; 0, COUNTIF(C2:C33,C17), "")</f>
        <v/>
      </c>
      <c r="E17" s="49" t="str">
        <f t="shared" si="0"/>
        <v/>
      </c>
      <c r="F17" s="1"/>
      <c r="G17" s="1"/>
      <c r="H17" s="4" t="str">
        <f>IF(COUNTIF(G2:G33,G17) &gt; 0, COUNTIF(G2:G33,G17), "")</f>
        <v/>
      </c>
      <c r="I17" s="51" t="str">
        <f t="shared" si="1"/>
        <v/>
      </c>
      <c r="J17" s="38"/>
      <c r="K17" s="38"/>
      <c r="L17" s="37" t="str">
        <f>IF(COUNTIF(K2:K33,K17) &gt; 0, COUNTIF(K2:K33,K17), "")</f>
        <v/>
      </c>
      <c r="M17" s="49" t="str">
        <f t="shared" si="2"/>
        <v/>
      </c>
      <c r="N17" s="1"/>
      <c r="O17" s="1"/>
      <c r="P17" s="4" t="str">
        <f>IF(COUNTIF(O2:O33,O17) &gt; 0, COUNTIF(O2:O33,O17), "")</f>
        <v/>
      </c>
      <c r="Q17" s="51" t="str">
        <f t="shared" si="3"/>
        <v/>
      </c>
      <c r="R17" s="38"/>
      <c r="S17" s="38"/>
      <c r="T17" s="37" t="str">
        <f>IF(COUNTIF(S2:S33,S17) &gt; 0, COUNTIF(S2:S33,S17), "")</f>
        <v/>
      </c>
      <c r="U17" s="49" t="str">
        <f t="shared" si="4"/>
        <v/>
      </c>
      <c r="V17" s="1"/>
      <c r="W17" s="1"/>
      <c r="X17" s="4" t="str">
        <f>IF(COUNTIF(W2:W33,W17) &gt; 0, COUNTIF(W2:W33,W17), "")</f>
        <v/>
      </c>
      <c r="Y17" s="51" t="str">
        <f t="shared" si="5"/>
        <v/>
      </c>
      <c r="Z17" s="38"/>
      <c r="AA17" s="38"/>
      <c r="AB17" s="37" t="str">
        <f>IF(COUNTIF(AA2:AA33,AA17) &gt; 0, COUNTIF(AA2:AA33,AA17), "")</f>
        <v/>
      </c>
      <c r="AC17" s="49" t="str">
        <f t="shared" si="6"/>
        <v/>
      </c>
      <c r="AD17" s="1"/>
      <c r="AE17" s="1"/>
      <c r="AF17" s="4" t="str">
        <f>IF(COUNTIF(AE2:AE33,AE17) &gt; 0, COUNTIF(AE2:AE33,AE17), "")</f>
        <v/>
      </c>
      <c r="AG17" s="51" t="str">
        <f t="shared" si="7"/>
        <v/>
      </c>
      <c r="AH17" s="38"/>
      <c r="AI17" s="38"/>
      <c r="AJ17" s="37" t="str">
        <f>IF(COUNTIF(AI2:AI33,AI17) &gt; 0, COUNTIF(AI2:AI33,AI17), "")</f>
        <v/>
      </c>
      <c r="AK17" s="49" t="str">
        <f t="shared" si="8"/>
        <v/>
      </c>
      <c r="AL17" s="1"/>
      <c r="AM17" s="1"/>
      <c r="AN17" s="4" t="str">
        <f>IF(COUNTIF(AM2:AM33,AM17) &gt; 0, COUNTIF(AM2:AM33,AM17), "")</f>
        <v/>
      </c>
      <c r="AO17" s="51" t="str">
        <f t="shared" si="9"/>
        <v/>
      </c>
      <c r="AP17" s="38"/>
      <c r="AQ17" s="38"/>
      <c r="AR17" s="37" t="str">
        <f>IF(COUNTIF(AQ2:AQ33,AQ17) &gt; 0, COUNTIF(AQ2:AQ33,AQ17), "")</f>
        <v/>
      </c>
      <c r="AS17" s="49" t="str">
        <f t="shared" si="10"/>
        <v/>
      </c>
      <c r="AT17" s="1"/>
      <c r="AU17" s="1"/>
      <c r="AV17" s="4" t="str">
        <f>IF(COUNTIF(AU2:AU33,AU17) &gt; 0, COUNTIF(AU2:AU33,AU17), "")</f>
        <v/>
      </c>
      <c r="AW17" s="51" t="str">
        <f t="shared" si="11"/>
        <v/>
      </c>
      <c r="AX17" s="38"/>
      <c r="AY17" s="38"/>
      <c r="AZ17" s="37" t="str">
        <f>IF(COUNTIF(AY2:AY33,AY17) &gt; 0, COUNTIF(AY2:AY33,AY17), "")</f>
        <v/>
      </c>
      <c r="BA17" s="49" t="str">
        <f t="shared" si="12"/>
        <v/>
      </c>
      <c r="BB17" s="1"/>
      <c r="BC17" s="1"/>
      <c r="BD17" s="4" t="str">
        <f>IF(COUNTIF(BC2:BC33,BC17) &gt; 0, COUNTIF(BC2:BC33,BC17), "")</f>
        <v/>
      </c>
      <c r="BE17" s="51" t="str">
        <f t="shared" si="13"/>
        <v/>
      </c>
      <c r="BF17" s="38"/>
      <c r="BG17" s="38"/>
      <c r="BH17" s="37" t="str">
        <f>IF(COUNTIF(BG2:BG33,BG17) &gt; 0, COUNTIF(BG2:BG33,BG17), "")</f>
        <v/>
      </c>
      <c r="BI17" s="49" t="str">
        <f t="shared" si="14"/>
        <v/>
      </c>
      <c r="BJ17" s="1"/>
      <c r="BK17" s="1"/>
      <c r="BL17" s="4" t="str">
        <f>IF(COUNTIF(BK2:BK33,BK17) &gt; 0, COUNTIF(BK2:BK33,BK17), "")</f>
        <v/>
      </c>
      <c r="BM17" s="51" t="str">
        <f t="shared" si="15"/>
        <v/>
      </c>
      <c r="BN17" s="38"/>
      <c r="BO17" s="38"/>
      <c r="BP17" s="37" t="str">
        <f>IF(COUNTIF(BO2:BO33,BO17) &gt; 0, COUNTIF(BO2:BO33,BO17), "")</f>
        <v/>
      </c>
      <c r="BQ17" s="49" t="str">
        <f t="shared" si="16"/>
        <v/>
      </c>
      <c r="BR17" s="1"/>
      <c r="BS17" s="1"/>
      <c r="BT17" s="4" t="str">
        <f>IF(COUNTIF(BS2:BS33,BS17) &gt; 0, COUNTIF(BS2:BS33,BS17), "")</f>
        <v/>
      </c>
      <c r="BU17" s="51" t="str">
        <f t="shared" si="17"/>
        <v/>
      </c>
      <c r="BV17" s="38"/>
      <c r="BW17" s="38"/>
      <c r="BX17" s="37" t="str">
        <f>IF(COUNTIF(BW2:BW33,BW17) &gt; 0, COUNTIF(BW2:BW33,BW17), "")</f>
        <v/>
      </c>
      <c r="BY17" s="49" t="str">
        <f t="shared" si="18"/>
        <v/>
      </c>
      <c r="BZ17" s="1"/>
      <c r="CA17" s="1"/>
      <c r="CB17" s="4" t="str">
        <f>IF(COUNTIF(CA2:CA33,CA17) &gt; 0, COUNTIF(CA2:CA33,CA17), "")</f>
        <v/>
      </c>
      <c r="CC17" s="51" t="str">
        <f t="shared" si="19"/>
        <v/>
      </c>
      <c r="CD17" s="6" t="str">
        <f t="shared" si="20"/>
        <v/>
      </c>
      <c r="CE17" s="46">
        <f>32-(COUNTIF(A2:A33,""))</f>
        <v>0</v>
      </c>
    </row>
    <row r="18" spans="1:83" x14ac:dyDescent="0.25">
      <c r="A18" s="2" t="str">
        <f>IF('Score joueurs'!A18="","", 'Score joueurs'!A18)</f>
        <v/>
      </c>
      <c r="B18" s="38"/>
      <c r="C18" s="38"/>
      <c r="D18" s="37" t="str">
        <f>IF(COUNTIF(C2:C33,C18) &gt; 0, COUNTIF(C2:C33,C18), "")</f>
        <v/>
      </c>
      <c r="E18" s="49" t="str">
        <f t="shared" si="0"/>
        <v/>
      </c>
      <c r="F18" s="4"/>
      <c r="G18" s="4"/>
      <c r="H18" s="4" t="str">
        <f>IF(COUNTIF(G2:G33,G18) &gt; 0, COUNTIF(G2:G33,G18), "")</f>
        <v/>
      </c>
      <c r="I18" s="51" t="str">
        <f t="shared" si="1"/>
        <v/>
      </c>
      <c r="J18" s="37"/>
      <c r="K18" s="37"/>
      <c r="L18" s="37" t="str">
        <f>IF(COUNTIF(K2:K33,K18) &gt; 0, COUNTIF(K2:K33,K18), "")</f>
        <v/>
      </c>
      <c r="M18" s="49" t="str">
        <f t="shared" si="2"/>
        <v/>
      </c>
      <c r="N18" s="4"/>
      <c r="O18" s="4"/>
      <c r="P18" s="4" t="str">
        <f>IF(COUNTIF(O2:O33,O18) &gt; 0, COUNTIF(O2:O33,O18), "")</f>
        <v/>
      </c>
      <c r="Q18" s="51" t="str">
        <f t="shared" si="3"/>
        <v/>
      </c>
      <c r="R18" s="37"/>
      <c r="S18" s="37"/>
      <c r="T18" s="37" t="str">
        <f>IF(COUNTIF(S2:S33,S18) &gt; 0, COUNTIF(S2:S33,S18), "")</f>
        <v/>
      </c>
      <c r="U18" s="49" t="str">
        <f t="shared" si="4"/>
        <v/>
      </c>
      <c r="V18" s="4"/>
      <c r="W18" s="4"/>
      <c r="X18" s="4" t="str">
        <f>IF(COUNTIF(W2:W33,W18) &gt; 0, COUNTIF(W2:W33,W18), "")</f>
        <v/>
      </c>
      <c r="Y18" s="51" t="str">
        <f t="shared" si="5"/>
        <v/>
      </c>
      <c r="Z18" s="37"/>
      <c r="AA18" s="37"/>
      <c r="AB18" s="37" t="str">
        <f>IF(COUNTIF(AA2:AA33,AA18) &gt; 0, COUNTIF(AA2:AA33,AA18), "")</f>
        <v/>
      </c>
      <c r="AC18" s="49" t="str">
        <f t="shared" si="6"/>
        <v/>
      </c>
      <c r="AD18" s="4"/>
      <c r="AE18" s="4"/>
      <c r="AF18" s="4" t="str">
        <f>IF(COUNTIF(AE2:AE33,AE18) &gt; 0, COUNTIF(AE2:AE33,AE18), "")</f>
        <v/>
      </c>
      <c r="AG18" s="51" t="str">
        <f t="shared" si="7"/>
        <v/>
      </c>
      <c r="AH18" s="37"/>
      <c r="AI18" s="37"/>
      <c r="AJ18" s="37" t="str">
        <f>IF(COUNTIF(AI2:AI33,AI18) &gt; 0, COUNTIF(AI2:AI33,AI18), "")</f>
        <v/>
      </c>
      <c r="AK18" s="49" t="str">
        <f t="shared" si="8"/>
        <v/>
      </c>
      <c r="AL18" s="4"/>
      <c r="AM18" s="4"/>
      <c r="AN18" s="4" t="str">
        <f>IF(COUNTIF(AM2:AM33,AM18) &gt; 0, COUNTIF(AM2:AM33,AM18), "")</f>
        <v/>
      </c>
      <c r="AO18" s="51" t="str">
        <f t="shared" si="9"/>
        <v/>
      </c>
      <c r="AP18" s="37"/>
      <c r="AQ18" s="37"/>
      <c r="AR18" s="37" t="str">
        <f>IF(COUNTIF(AQ2:AQ33,AQ18) &gt; 0, COUNTIF(AQ2:AQ33,AQ18), "")</f>
        <v/>
      </c>
      <c r="AS18" s="49" t="str">
        <f t="shared" si="10"/>
        <v/>
      </c>
      <c r="AT18" s="4"/>
      <c r="AU18" s="4"/>
      <c r="AV18" s="4" t="str">
        <f>IF(COUNTIF(AU2:AU33,AU18) &gt; 0, COUNTIF(AU2:AU33,AU18), "")</f>
        <v/>
      </c>
      <c r="AW18" s="51" t="str">
        <f t="shared" si="11"/>
        <v/>
      </c>
      <c r="AX18" s="37"/>
      <c r="AY18" s="37"/>
      <c r="AZ18" s="37" t="str">
        <f>IF(COUNTIF(AY2:AY33,AY18) &gt; 0, COUNTIF(AY2:AY33,AY18), "")</f>
        <v/>
      </c>
      <c r="BA18" s="49" t="str">
        <f t="shared" si="12"/>
        <v/>
      </c>
      <c r="BB18" s="4"/>
      <c r="BC18" s="4"/>
      <c r="BD18" s="4" t="str">
        <f>IF(COUNTIF(BC2:BC33,BC18) &gt; 0, COUNTIF(BC2:BC33,BC18), "")</f>
        <v/>
      </c>
      <c r="BE18" s="51" t="str">
        <f t="shared" si="13"/>
        <v/>
      </c>
      <c r="BF18" s="37"/>
      <c r="BG18" s="37"/>
      <c r="BH18" s="37" t="str">
        <f>IF(COUNTIF(BG2:BG33,BG18) &gt; 0, COUNTIF(BG2:BG33,BG18), "")</f>
        <v/>
      </c>
      <c r="BI18" s="49" t="str">
        <f t="shared" si="14"/>
        <v/>
      </c>
      <c r="BJ18" s="4"/>
      <c r="BK18" s="4"/>
      <c r="BL18" s="4" t="str">
        <f>IF(COUNTIF(BK2:BK33,BK18) &gt; 0, COUNTIF(BK2:BK33,BK18), "")</f>
        <v/>
      </c>
      <c r="BM18" s="51" t="str">
        <f t="shared" si="15"/>
        <v/>
      </c>
      <c r="BN18" s="37"/>
      <c r="BO18" s="37"/>
      <c r="BP18" s="37" t="str">
        <f>IF(COUNTIF(BO2:BO33,BO18) &gt; 0, COUNTIF(BO2:BO33,BO18), "")</f>
        <v/>
      </c>
      <c r="BQ18" s="49" t="str">
        <f t="shared" si="16"/>
        <v/>
      </c>
      <c r="BR18" s="4"/>
      <c r="BS18" s="4"/>
      <c r="BT18" s="4" t="str">
        <f>IF(COUNTIF(BS2:BS33,BS18) &gt; 0, COUNTIF(BS2:BS33,BS18), "")</f>
        <v/>
      </c>
      <c r="BU18" s="51" t="str">
        <f t="shared" si="17"/>
        <v/>
      </c>
      <c r="BV18" s="37"/>
      <c r="BW18" s="37"/>
      <c r="BX18" s="37" t="str">
        <f>IF(COUNTIF(BW2:BW33,BW18) &gt; 0, COUNTIF(BW2:BW33,BW18), "")</f>
        <v/>
      </c>
      <c r="BY18" s="49" t="str">
        <f t="shared" si="18"/>
        <v/>
      </c>
      <c r="BZ18" s="4"/>
      <c r="CA18" s="4"/>
      <c r="CB18" s="4" t="str">
        <f>IF(COUNTIF(CA2:CA33,CA18) &gt; 0, COUNTIF(CA2:CA33,CA18), "")</f>
        <v/>
      </c>
      <c r="CC18" s="51" t="str">
        <f t="shared" si="19"/>
        <v/>
      </c>
      <c r="CD18" s="6" t="str">
        <f t="shared" si="20"/>
        <v/>
      </c>
      <c r="CE18" s="46">
        <f>32-(COUNTIF(A2:A33,""))</f>
        <v>0</v>
      </c>
    </row>
    <row r="19" spans="1:83" x14ac:dyDescent="0.25">
      <c r="A19" s="2" t="str">
        <f>IF('Score joueurs'!A19="","", 'Score joueurs'!A19)</f>
        <v/>
      </c>
      <c r="B19" s="37"/>
      <c r="C19" s="37"/>
      <c r="D19" s="37" t="str">
        <f>IF(COUNTIF(C2:C33,C19) &gt; 0, COUNTIF(C2:C33,C19), "")</f>
        <v/>
      </c>
      <c r="E19" s="49" t="str">
        <f t="shared" si="0"/>
        <v/>
      </c>
      <c r="F19" s="1"/>
      <c r="G19" s="1"/>
      <c r="H19" s="4" t="str">
        <f>IF(COUNTIF(G2:G33,G19) &gt; 0, COUNTIF(G2:G33,G19), "")</f>
        <v/>
      </c>
      <c r="I19" s="51" t="str">
        <f t="shared" si="1"/>
        <v/>
      </c>
      <c r="J19" s="38"/>
      <c r="K19" s="38"/>
      <c r="L19" s="37" t="str">
        <f>IF(COUNTIF(K2:K33,K19) &gt; 0, COUNTIF(K2:K33,K19), "")</f>
        <v/>
      </c>
      <c r="M19" s="49" t="str">
        <f t="shared" si="2"/>
        <v/>
      </c>
      <c r="N19" s="1"/>
      <c r="O19" s="1"/>
      <c r="P19" s="4" t="str">
        <f>IF(COUNTIF(O2:O33,O19) &gt; 0, COUNTIF(O2:O33,O19), "")</f>
        <v/>
      </c>
      <c r="Q19" s="51" t="str">
        <f t="shared" si="3"/>
        <v/>
      </c>
      <c r="R19" s="38"/>
      <c r="S19" s="38"/>
      <c r="T19" s="37" t="str">
        <f>IF(COUNTIF(S2:S33,S19) &gt; 0, COUNTIF(S2:S33,S19), "")</f>
        <v/>
      </c>
      <c r="U19" s="49" t="str">
        <f t="shared" si="4"/>
        <v/>
      </c>
      <c r="V19" s="1"/>
      <c r="W19" s="1"/>
      <c r="X19" s="4" t="str">
        <f>IF(COUNTIF(W2:W33,W19) &gt; 0, COUNTIF(W2:W33,W19), "")</f>
        <v/>
      </c>
      <c r="Y19" s="51" t="str">
        <f t="shared" si="5"/>
        <v/>
      </c>
      <c r="Z19" s="38"/>
      <c r="AA19" s="38"/>
      <c r="AB19" s="37" t="str">
        <f>IF(COUNTIF(AA2:AA33,AA19) &gt; 0, COUNTIF(AA2:AA33,AA19), "")</f>
        <v/>
      </c>
      <c r="AC19" s="49" t="str">
        <f t="shared" si="6"/>
        <v/>
      </c>
      <c r="AD19" s="1"/>
      <c r="AE19" s="1"/>
      <c r="AF19" s="4" t="str">
        <f>IF(COUNTIF(AE2:AE33,AE19) &gt; 0, COUNTIF(AE2:AE33,AE19), "")</f>
        <v/>
      </c>
      <c r="AG19" s="51" t="str">
        <f t="shared" si="7"/>
        <v/>
      </c>
      <c r="AH19" s="38"/>
      <c r="AI19" s="38"/>
      <c r="AJ19" s="37" t="str">
        <f>IF(COUNTIF(AI2:AI33,AI19) &gt; 0, COUNTIF(AI2:AI33,AI19), "")</f>
        <v/>
      </c>
      <c r="AK19" s="49" t="str">
        <f t="shared" si="8"/>
        <v/>
      </c>
      <c r="AL19" s="1"/>
      <c r="AM19" s="1"/>
      <c r="AN19" s="4" t="str">
        <f>IF(COUNTIF(AM2:AM33,AM19) &gt; 0, COUNTIF(AM2:AM33,AM19), "")</f>
        <v/>
      </c>
      <c r="AO19" s="51" t="str">
        <f t="shared" si="9"/>
        <v/>
      </c>
      <c r="AP19" s="38"/>
      <c r="AQ19" s="38"/>
      <c r="AR19" s="37" t="str">
        <f>IF(COUNTIF(AQ2:AQ33,AQ19) &gt; 0, COUNTIF(AQ2:AQ33,AQ19), "")</f>
        <v/>
      </c>
      <c r="AS19" s="49" t="str">
        <f t="shared" si="10"/>
        <v/>
      </c>
      <c r="AT19" s="1"/>
      <c r="AU19" s="1"/>
      <c r="AV19" s="4" t="str">
        <f>IF(COUNTIF(AU2:AU33,AU19) &gt; 0, COUNTIF(AU2:AU33,AU19), "")</f>
        <v/>
      </c>
      <c r="AW19" s="51" t="str">
        <f t="shared" si="11"/>
        <v/>
      </c>
      <c r="AX19" s="38"/>
      <c r="AY19" s="38"/>
      <c r="AZ19" s="37" t="str">
        <f>IF(COUNTIF(AY2:AY33,AY19) &gt; 0, COUNTIF(AY2:AY33,AY19), "")</f>
        <v/>
      </c>
      <c r="BA19" s="49" t="str">
        <f t="shared" si="12"/>
        <v/>
      </c>
      <c r="BB19" s="1"/>
      <c r="BC19" s="1"/>
      <c r="BD19" s="4" t="str">
        <f>IF(COUNTIF(BC2:BC33,BC19) &gt; 0, COUNTIF(BC2:BC33,BC19), "")</f>
        <v/>
      </c>
      <c r="BE19" s="51" t="str">
        <f t="shared" si="13"/>
        <v/>
      </c>
      <c r="BF19" s="38"/>
      <c r="BG19" s="38"/>
      <c r="BH19" s="37" t="str">
        <f>IF(COUNTIF(BG2:BG33,BG19) &gt; 0, COUNTIF(BG2:BG33,BG19), "")</f>
        <v/>
      </c>
      <c r="BI19" s="49" t="str">
        <f t="shared" si="14"/>
        <v/>
      </c>
      <c r="BJ19" s="1"/>
      <c r="BK19" s="1"/>
      <c r="BL19" s="4" t="str">
        <f>IF(COUNTIF(BK2:BK33,BK19) &gt; 0, COUNTIF(BK2:BK33,BK19), "")</f>
        <v/>
      </c>
      <c r="BM19" s="51" t="str">
        <f t="shared" si="15"/>
        <v/>
      </c>
      <c r="BN19" s="38"/>
      <c r="BO19" s="38"/>
      <c r="BP19" s="37" t="str">
        <f>IF(COUNTIF(BO2:BO33,BO19) &gt; 0, COUNTIF(BO2:BO33,BO19), "")</f>
        <v/>
      </c>
      <c r="BQ19" s="49" t="str">
        <f t="shared" si="16"/>
        <v/>
      </c>
      <c r="BR19" s="1"/>
      <c r="BS19" s="1"/>
      <c r="BT19" s="4" t="str">
        <f>IF(COUNTIF(BS2:BS33,BS19) &gt; 0, COUNTIF(BS2:BS33,BS19), "")</f>
        <v/>
      </c>
      <c r="BU19" s="51" t="str">
        <f t="shared" si="17"/>
        <v/>
      </c>
      <c r="BV19" s="38"/>
      <c r="BW19" s="38"/>
      <c r="BX19" s="37" t="str">
        <f>IF(COUNTIF(BW2:BW33,BW19) &gt; 0, COUNTIF(BW2:BW33,BW19), "")</f>
        <v/>
      </c>
      <c r="BY19" s="49" t="str">
        <f t="shared" si="18"/>
        <v/>
      </c>
      <c r="BZ19" s="1"/>
      <c r="CA19" s="1"/>
      <c r="CB19" s="4" t="str">
        <f>IF(COUNTIF(CA2:CA33,CA19) &gt; 0, COUNTIF(CA2:CA33,CA19), "")</f>
        <v/>
      </c>
      <c r="CC19" s="51" t="str">
        <f t="shared" si="19"/>
        <v/>
      </c>
      <c r="CD19" s="6" t="str">
        <f t="shared" si="20"/>
        <v/>
      </c>
      <c r="CE19" s="46">
        <f>32-(COUNTIF(A2:A33,""))</f>
        <v>0</v>
      </c>
    </row>
    <row r="20" spans="1:83" x14ac:dyDescent="0.25">
      <c r="A20" s="2" t="str">
        <f>IF('Score joueurs'!A20="","", 'Score joueurs'!A20)</f>
        <v/>
      </c>
      <c r="B20" s="37"/>
      <c r="C20" s="37"/>
      <c r="D20" s="37" t="str">
        <f>IF(COUNTIF(C2:C33,C20) &gt; 0, COUNTIF(C2:C33,C20), "")</f>
        <v/>
      </c>
      <c r="E20" s="49" t="str">
        <f t="shared" si="0"/>
        <v/>
      </c>
      <c r="F20" s="4"/>
      <c r="G20" s="4"/>
      <c r="H20" s="4" t="str">
        <f>IF(COUNTIF(G2:G33,G20) &gt; 0, COUNTIF(G2:G33,G20), "")</f>
        <v/>
      </c>
      <c r="I20" s="51" t="str">
        <f t="shared" si="1"/>
        <v/>
      </c>
      <c r="J20" s="37"/>
      <c r="K20" s="37"/>
      <c r="L20" s="37" t="str">
        <f>IF(COUNTIF(K2:K33,K20) &gt; 0, COUNTIF(K2:K33,K20), "")</f>
        <v/>
      </c>
      <c r="M20" s="49" t="str">
        <f t="shared" si="2"/>
        <v/>
      </c>
      <c r="N20" s="4"/>
      <c r="O20" s="4"/>
      <c r="P20" s="4" t="str">
        <f>IF(COUNTIF(O2:O33,O20) &gt; 0, COUNTIF(O2:O33,O20), "")</f>
        <v/>
      </c>
      <c r="Q20" s="51" t="str">
        <f t="shared" si="3"/>
        <v/>
      </c>
      <c r="R20" s="37"/>
      <c r="S20" s="37"/>
      <c r="T20" s="37" t="str">
        <f>IF(COUNTIF(S2:S33,S20) &gt; 0, COUNTIF(S2:S33,S20), "")</f>
        <v/>
      </c>
      <c r="U20" s="49" t="str">
        <f t="shared" si="4"/>
        <v/>
      </c>
      <c r="V20" s="4"/>
      <c r="W20" s="4"/>
      <c r="X20" s="4" t="str">
        <f>IF(COUNTIF(W2:W33,W20) &gt; 0, COUNTIF(W2:W33,W20), "")</f>
        <v/>
      </c>
      <c r="Y20" s="51" t="str">
        <f t="shared" si="5"/>
        <v/>
      </c>
      <c r="Z20" s="37"/>
      <c r="AA20" s="37"/>
      <c r="AB20" s="37" t="str">
        <f>IF(COUNTIF(AA2:AA33,AA20) &gt; 0, COUNTIF(AA2:AA33,AA20), "")</f>
        <v/>
      </c>
      <c r="AC20" s="49" t="str">
        <f t="shared" si="6"/>
        <v/>
      </c>
      <c r="AD20" s="4"/>
      <c r="AE20" s="4"/>
      <c r="AF20" s="4" t="str">
        <f>IF(COUNTIF(AE2:AE33,AE20) &gt; 0, COUNTIF(AE2:AE33,AE20), "")</f>
        <v/>
      </c>
      <c r="AG20" s="51" t="str">
        <f t="shared" si="7"/>
        <v/>
      </c>
      <c r="AH20" s="37"/>
      <c r="AI20" s="37"/>
      <c r="AJ20" s="37" t="str">
        <f>IF(COUNTIF(AI2:AI33,AI20) &gt; 0, COUNTIF(AI2:AI33,AI20), "")</f>
        <v/>
      </c>
      <c r="AK20" s="49" t="str">
        <f t="shared" si="8"/>
        <v/>
      </c>
      <c r="AL20" s="4"/>
      <c r="AM20" s="4"/>
      <c r="AN20" s="4" t="str">
        <f>IF(COUNTIF(AM2:AM33,AM20) &gt; 0, COUNTIF(AM2:AM33,AM20), "")</f>
        <v/>
      </c>
      <c r="AO20" s="51" t="str">
        <f t="shared" si="9"/>
        <v/>
      </c>
      <c r="AP20" s="37"/>
      <c r="AQ20" s="37"/>
      <c r="AR20" s="37" t="str">
        <f>IF(COUNTIF(AQ2:AQ33,AQ20) &gt; 0, COUNTIF(AQ2:AQ33,AQ20), "")</f>
        <v/>
      </c>
      <c r="AS20" s="49" t="str">
        <f t="shared" si="10"/>
        <v/>
      </c>
      <c r="AT20" s="4"/>
      <c r="AU20" s="4"/>
      <c r="AV20" s="4" t="str">
        <f>IF(COUNTIF(AU2:AU33,AU20) &gt; 0, COUNTIF(AU2:AU33,AU20), "")</f>
        <v/>
      </c>
      <c r="AW20" s="51" t="str">
        <f t="shared" si="11"/>
        <v/>
      </c>
      <c r="AX20" s="37"/>
      <c r="AY20" s="37"/>
      <c r="AZ20" s="37" t="str">
        <f>IF(COUNTIF(AY2:AY33,AY20) &gt; 0, COUNTIF(AY2:AY33,AY20), "")</f>
        <v/>
      </c>
      <c r="BA20" s="49" t="str">
        <f t="shared" si="12"/>
        <v/>
      </c>
      <c r="BB20" s="4"/>
      <c r="BC20" s="4"/>
      <c r="BD20" s="4" t="str">
        <f>IF(COUNTIF(BC2:BC33,BC20) &gt; 0, COUNTIF(BC2:BC33,BC20), "")</f>
        <v/>
      </c>
      <c r="BE20" s="51" t="str">
        <f t="shared" si="13"/>
        <v/>
      </c>
      <c r="BF20" s="37"/>
      <c r="BG20" s="37"/>
      <c r="BH20" s="37" t="str">
        <f>IF(COUNTIF(BG2:BG33,BG20) &gt; 0, COUNTIF(BG2:BG33,BG20), "")</f>
        <v/>
      </c>
      <c r="BI20" s="49" t="str">
        <f t="shared" si="14"/>
        <v/>
      </c>
      <c r="BJ20" s="4"/>
      <c r="BK20" s="4"/>
      <c r="BL20" s="4" t="str">
        <f>IF(COUNTIF(BK2:BK33,BK20) &gt; 0, COUNTIF(BK2:BK33,BK20), "")</f>
        <v/>
      </c>
      <c r="BM20" s="51" t="str">
        <f t="shared" si="15"/>
        <v/>
      </c>
      <c r="BN20" s="37"/>
      <c r="BO20" s="37"/>
      <c r="BP20" s="37" t="str">
        <f>IF(COUNTIF(BO2:BO33,BO20) &gt; 0, COUNTIF(BO2:BO33,BO20), "")</f>
        <v/>
      </c>
      <c r="BQ20" s="49" t="str">
        <f t="shared" si="16"/>
        <v/>
      </c>
      <c r="BR20" s="4"/>
      <c r="BS20" s="4"/>
      <c r="BT20" s="4" t="str">
        <f>IF(COUNTIF(BS2:BS33,BS20) &gt; 0, COUNTIF(BS2:BS33,BS20), "")</f>
        <v/>
      </c>
      <c r="BU20" s="51" t="str">
        <f t="shared" si="17"/>
        <v/>
      </c>
      <c r="BV20" s="37"/>
      <c r="BW20" s="37"/>
      <c r="BX20" s="37" t="str">
        <f>IF(COUNTIF(BW2:BW33,BW20) &gt; 0, COUNTIF(BW2:BW33,BW20), "")</f>
        <v/>
      </c>
      <c r="BY20" s="49" t="str">
        <f t="shared" si="18"/>
        <v/>
      </c>
      <c r="BZ20" s="4"/>
      <c r="CA20" s="4"/>
      <c r="CB20" s="4" t="str">
        <f>IF(COUNTIF(CA2:CA33,CA20) &gt; 0, COUNTIF(CA2:CA33,CA20), "")</f>
        <v/>
      </c>
      <c r="CC20" s="51" t="str">
        <f t="shared" si="19"/>
        <v/>
      </c>
      <c r="CD20" s="6" t="str">
        <f t="shared" si="20"/>
        <v/>
      </c>
      <c r="CE20" s="46">
        <f>32-(COUNTIF(A2:A33,""))</f>
        <v>0</v>
      </c>
    </row>
    <row r="21" spans="1:83" x14ac:dyDescent="0.25">
      <c r="A21" s="2" t="str">
        <f>IF('Score joueurs'!A21="","", 'Score joueurs'!A21)</f>
        <v/>
      </c>
      <c r="B21" s="38"/>
      <c r="C21" s="38"/>
      <c r="D21" s="37" t="str">
        <f>IF(COUNTIF(C2:C33,C21) &gt; 0, COUNTIF(C2:C33,C21), "")</f>
        <v/>
      </c>
      <c r="E21" s="49" t="str">
        <f t="shared" si="0"/>
        <v/>
      </c>
      <c r="F21" s="1"/>
      <c r="G21" s="1"/>
      <c r="H21" s="4" t="str">
        <f>IF(COUNTIF(G2:G33,G21) &gt; 0, COUNTIF(G2:G33,G21), "")</f>
        <v/>
      </c>
      <c r="I21" s="51" t="str">
        <f t="shared" si="1"/>
        <v/>
      </c>
      <c r="J21" s="38"/>
      <c r="K21" s="38"/>
      <c r="L21" s="37" t="str">
        <f>IF(COUNTIF(K2:K33,K21) &gt; 0, COUNTIF(K2:K33,K21), "")</f>
        <v/>
      </c>
      <c r="M21" s="49" t="str">
        <f t="shared" si="2"/>
        <v/>
      </c>
      <c r="N21" s="1"/>
      <c r="O21" s="1"/>
      <c r="P21" s="4" t="str">
        <f>IF(COUNTIF(O2:O33,O21) &gt; 0, COUNTIF(O2:O33,O21), "")</f>
        <v/>
      </c>
      <c r="Q21" s="51" t="str">
        <f t="shared" si="3"/>
        <v/>
      </c>
      <c r="R21" s="38"/>
      <c r="S21" s="38"/>
      <c r="T21" s="37" t="str">
        <f>IF(COUNTIF(S2:S33,S21) &gt; 0, COUNTIF(S2:S33,S21), "")</f>
        <v/>
      </c>
      <c r="U21" s="49" t="str">
        <f t="shared" si="4"/>
        <v/>
      </c>
      <c r="V21" s="1"/>
      <c r="W21" s="1"/>
      <c r="X21" s="4" t="str">
        <f>IF(COUNTIF(W2:W33,W21) &gt; 0, COUNTIF(W2:W33,W21), "")</f>
        <v/>
      </c>
      <c r="Y21" s="51" t="str">
        <f t="shared" si="5"/>
        <v/>
      </c>
      <c r="Z21" s="38"/>
      <c r="AA21" s="38"/>
      <c r="AB21" s="37" t="str">
        <f>IF(COUNTIF(AA2:AA33,AA21) &gt; 0, COUNTIF(AA2:AA33,AA21), "")</f>
        <v/>
      </c>
      <c r="AC21" s="49" t="str">
        <f t="shared" si="6"/>
        <v/>
      </c>
      <c r="AD21" s="1"/>
      <c r="AE21" s="1"/>
      <c r="AF21" s="4" t="str">
        <f>IF(COUNTIF(AE2:AE33,AE21) &gt; 0, COUNTIF(AE2:AE33,AE21), "")</f>
        <v/>
      </c>
      <c r="AG21" s="51" t="str">
        <f t="shared" si="7"/>
        <v/>
      </c>
      <c r="AH21" s="38"/>
      <c r="AI21" s="38"/>
      <c r="AJ21" s="37" t="str">
        <f>IF(COUNTIF(AI2:AI33,AI21) &gt; 0, COUNTIF(AI2:AI33,AI21), "")</f>
        <v/>
      </c>
      <c r="AK21" s="49" t="str">
        <f t="shared" si="8"/>
        <v/>
      </c>
      <c r="AL21" s="1"/>
      <c r="AM21" s="1"/>
      <c r="AN21" s="4" t="str">
        <f>IF(COUNTIF(AM2:AM33,AM21) &gt; 0, COUNTIF(AM2:AM33,AM21), "")</f>
        <v/>
      </c>
      <c r="AO21" s="51" t="str">
        <f t="shared" si="9"/>
        <v/>
      </c>
      <c r="AP21" s="38"/>
      <c r="AQ21" s="38"/>
      <c r="AR21" s="37" t="str">
        <f>IF(COUNTIF(AQ2:AQ33,AQ21) &gt; 0, COUNTIF(AQ2:AQ33,AQ21), "")</f>
        <v/>
      </c>
      <c r="AS21" s="49" t="str">
        <f t="shared" si="10"/>
        <v/>
      </c>
      <c r="AT21" s="1"/>
      <c r="AU21" s="1"/>
      <c r="AV21" s="4" t="str">
        <f>IF(COUNTIF(AU2:AU33,AU21) &gt; 0, COUNTIF(AU2:AU33,AU21), "")</f>
        <v/>
      </c>
      <c r="AW21" s="51" t="str">
        <f t="shared" si="11"/>
        <v/>
      </c>
      <c r="AX21" s="38"/>
      <c r="AY21" s="38"/>
      <c r="AZ21" s="37" t="str">
        <f>IF(COUNTIF(AY2:AY33,AY21) &gt; 0, COUNTIF(AY2:AY33,AY21), "")</f>
        <v/>
      </c>
      <c r="BA21" s="49" t="str">
        <f t="shared" si="12"/>
        <v/>
      </c>
      <c r="BB21" s="1"/>
      <c r="BC21" s="1"/>
      <c r="BD21" s="4" t="str">
        <f>IF(COUNTIF(BC2:BC33,BC21) &gt; 0, COUNTIF(BC2:BC33,BC21), "")</f>
        <v/>
      </c>
      <c r="BE21" s="51" t="str">
        <f t="shared" si="13"/>
        <v/>
      </c>
      <c r="BF21" s="38"/>
      <c r="BG21" s="38"/>
      <c r="BH21" s="37" t="str">
        <f>IF(COUNTIF(BG2:BG33,BG21) &gt; 0, COUNTIF(BG2:BG33,BG21), "")</f>
        <v/>
      </c>
      <c r="BI21" s="49" t="str">
        <f t="shared" si="14"/>
        <v/>
      </c>
      <c r="BJ21" s="1"/>
      <c r="BK21" s="1"/>
      <c r="BL21" s="4" t="str">
        <f>IF(COUNTIF(BK2:BK33,BK21) &gt; 0, COUNTIF(BK2:BK33,BK21), "")</f>
        <v/>
      </c>
      <c r="BM21" s="51" t="str">
        <f t="shared" si="15"/>
        <v/>
      </c>
      <c r="BN21" s="38"/>
      <c r="BO21" s="38"/>
      <c r="BP21" s="37" t="str">
        <f>IF(COUNTIF(BO2:BO33,BO21) &gt; 0, COUNTIF(BO2:BO33,BO21), "")</f>
        <v/>
      </c>
      <c r="BQ21" s="49" t="str">
        <f t="shared" si="16"/>
        <v/>
      </c>
      <c r="BR21" s="1"/>
      <c r="BS21" s="1"/>
      <c r="BT21" s="4" t="str">
        <f>IF(COUNTIF(BS2:BS33,BS21) &gt; 0, COUNTIF(BS2:BS33,BS21), "")</f>
        <v/>
      </c>
      <c r="BU21" s="51" t="str">
        <f t="shared" si="17"/>
        <v/>
      </c>
      <c r="BV21" s="38"/>
      <c r="BW21" s="38"/>
      <c r="BX21" s="37" t="str">
        <f>IF(COUNTIF(BW2:BW33,BW21) &gt; 0, COUNTIF(BW2:BW33,BW21), "")</f>
        <v/>
      </c>
      <c r="BY21" s="49" t="str">
        <f t="shared" si="18"/>
        <v/>
      </c>
      <c r="BZ21" s="1"/>
      <c r="CA21" s="1"/>
      <c r="CB21" s="4" t="str">
        <f>IF(COUNTIF(CA2:CA33,CA21) &gt; 0, COUNTIF(CA2:CA33,CA21), "")</f>
        <v/>
      </c>
      <c r="CC21" s="51" t="str">
        <f t="shared" si="19"/>
        <v/>
      </c>
      <c r="CD21" s="6" t="str">
        <f t="shared" si="20"/>
        <v/>
      </c>
      <c r="CE21" s="46">
        <f>32-(COUNTIF(A2:A33,""))</f>
        <v>0</v>
      </c>
    </row>
    <row r="22" spans="1:83" x14ac:dyDescent="0.25">
      <c r="A22" s="2" t="str">
        <f>IF('Score joueurs'!A22="","", 'Score joueurs'!A22)</f>
        <v/>
      </c>
      <c r="B22" s="37"/>
      <c r="C22" s="37"/>
      <c r="D22" s="37" t="str">
        <f>IF(COUNTIF(C2:C33,C22) &gt; 0, COUNTIF(C2:C33,C22), "")</f>
        <v/>
      </c>
      <c r="E22" s="49" t="str">
        <f t="shared" si="0"/>
        <v/>
      </c>
      <c r="F22" s="4"/>
      <c r="G22" s="4"/>
      <c r="H22" s="4" t="str">
        <f>IF(COUNTIF(G2:G33,G22) &gt; 0, COUNTIF(G2:G33,G22), "")</f>
        <v/>
      </c>
      <c r="I22" s="51" t="str">
        <f t="shared" si="1"/>
        <v/>
      </c>
      <c r="J22" s="37"/>
      <c r="K22" s="37"/>
      <c r="L22" s="37" t="str">
        <f>IF(COUNTIF(K2:K33,K22) &gt; 0, COUNTIF(K2:K33,K22), "")</f>
        <v/>
      </c>
      <c r="M22" s="49" t="str">
        <f t="shared" si="2"/>
        <v/>
      </c>
      <c r="N22" s="4"/>
      <c r="O22" s="4"/>
      <c r="P22" s="4" t="str">
        <f>IF(COUNTIF(O2:O33,O22) &gt; 0, COUNTIF(O2:O33,O22), "")</f>
        <v/>
      </c>
      <c r="Q22" s="51" t="str">
        <f t="shared" si="3"/>
        <v/>
      </c>
      <c r="R22" s="37"/>
      <c r="S22" s="37"/>
      <c r="T22" s="37" t="str">
        <f>IF(COUNTIF(S2:S33,S22) &gt; 0, COUNTIF(S2:S33,S22), "")</f>
        <v/>
      </c>
      <c r="U22" s="49" t="str">
        <f t="shared" si="4"/>
        <v/>
      </c>
      <c r="V22" s="4"/>
      <c r="W22" s="4"/>
      <c r="X22" s="4" t="str">
        <f>IF(COUNTIF(W2:W33,W22) &gt; 0, COUNTIF(W2:W33,W22), "")</f>
        <v/>
      </c>
      <c r="Y22" s="51" t="str">
        <f t="shared" si="5"/>
        <v/>
      </c>
      <c r="Z22" s="37"/>
      <c r="AA22" s="37"/>
      <c r="AB22" s="37" t="str">
        <f>IF(COUNTIF(AA2:AA33,AA22) &gt; 0, COUNTIF(AA2:AA33,AA22), "")</f>
        <v/>
      </c>
      <c r="AC22" s="49" t="str">
        <f t="shared" si="6"/>
        <v/>
      </c>
      <c r="AD22" s="4"/>
      <c r="AE22" s="4"/>
      <c r="AF22" s="4" t="str">
        <f>IF(COUNTIF(AE2:AE33,AE22) &gt; 0, COUNTIF(AE2:AE33,AE22), "")</f>
        <v/>
      </c>
      <c r="AG22" s="51" t="str">
        <f t="shared" si="7"/>
        <v/>
      </c>
      <c r="AH22" s="37"/>
      <c r="AI22" s="37"/>
      <c r="AJ22" s="37" t="str">
        <f>IF(COUNTIF(AI2:AI33,AI22) &gt; 0, COUNTIF(AI2:AI33,AI22), "")</f>
        <v/>
      </c>
      <c r="AK22" s="49" t="str">
        <f t="shared" si="8"/>
        <v/>
      </c>
      <c r="AL22" s="4"/>
      <c r="AM22" s="4"/>
      <c r="AN22" s="4" t="str">
        <f>IF(COUNTIF(AM2:AM33,AM22) &gt; 0, COUNTIF(AM2:AM33,AM22), "")</f>
        <v/>
      </c>
      <c r="AO22" s="51" t="str">
        <f t="shared" si="9"/>
        <v/>
      </c>
      <c r="AP22" s="37"/>
      <c r="AQ22" s="37"/>
      <c r="AR22" s="37" t="str">
        <f>IF(COUNTIF(AQ2:AQ33,AQ22) &gt; 0, COUNTIF(AQ2:AQ33,AQ22), "")</f>
        <v/>
      </c>
      <c r="AS22" s="49" t="str">
        <f t="shared" si="10"/>
        <v/>
      </c>
      <c r="AT22" s="4"/>
      <c r="AU22" s="4"/>
      <c r="AV22" s="4" t="str">
        <f>IF(COUNTIF(AU2:AU33,AU22) &gt; 0, COUNTIF(AU2:AU33,AU22), "")</f>
        <v/>
      </c>
      <c r="AW22" s="51" t="str">
        <f t="shared" si="11"/>
        <v/>
      </c>
      <c r="AX22" s="37"/>
      <c r="AY22" s="37"/>
      <c r="AZ22" s="37" t="str">
        <f>IF(COUNTIF(AY2:AY33,AY22) &gt; 0, COUNTIF(AY2:AY33,AY22), "")</f>
        <v/>
      </c>
      <c r="BA22" s="49" t="str">
        <f t="shared" si="12"/>
        <v/>
      </c>
      <c r="BB22" s="4"/>
      <c r="BC22" s="4"/>
      <c r="BD22" s="4" t="str">
        <f>IF(COUNTIF(BC2:BC33,BC22) &gt; 0, COUNTIF(BC2:BC33,BC22), "")</f>
        <v/>
      </c>
      <c r="BE22" s="51" t="str">
        <f t="shared" si="13"/>
        <v/>
      </c>
      <c r="BF22" s="37"/>
      <c r="BG22" s="37"/>
      <c r="BH22" s="37" t="str">
        <f>IF(COUNTIF(BG2:BG33,BG22) &gt; 0, COUNTIF(BG2:BG33,BG22), "")</f>
        <v/>
      </c>
      <c r="BI22" s="49" t="str">
        <f t="shared" si="14"/>
        <v/>
      </c>
      <c r="BJ22" s="4"/>
      <c r="BK22" s="4"/>
      <c r="BL22" s="4" t="str">
        <f>IF(COUNTIF(BK2:BK33,BK22) &gt; 0, COUNTIF(BK2:BK33,BK22), "")</f>
        <v/>
      </c>
      <c r="BM22" s="51" t="str">
        <f t="shared" si="15"/>
        <v/>
      </c>
      <c r="BN22" s="37"/>
      <c r="BO22" s="37"/>
      <c r="BP22" s="37" t="str">
        <f>IF(COUNTIF(BO2:BO33,BO22) &gt; 0, COUNTIF(BO2:BO33,BO22), "")</f>
        <v/>
      </c>
      <c r="BQ22" s="49" t="str">
        <f t="shared" si="16"/>
        <v/>
      </c>
      <c r="BR22" s="4"/>
      <c r="BS22" s="4"/>
      <c r="BT22" s="4" t="str">
        <f>IF(COUNTIF(BS2:BS33,BS22) &gt; 0, COUNTIF(BS2:BS33,BS22), "")</f>
        <v/>
      </c>
      <c r="BU22" s="51" t="str">
        <f t="shared" si="17"/>
        <v/>
      </c>
      <c r="BV22" s="37"/>
      <c r="BW22" s="37"/>
      <c r="BX22" s="37" t="str">
        <f>IF(COUNTIF(BW2:BW33,BW22) &gt; 0, COUNTIF(BW2:BW33,BW22), "")</f>
        <v/>
      </c>
      <c r="BY22" s="49" t="str">
        <f t="shared" si="18"/>
        <v/>
      </c>
      <c r="BZ22" s="4"/>
      <c r="CA22" s="4"/>
      <c r="CB22" s="4" t="str">
        <f>IF(COUNTIF(CA2:CA33,CA22) &gt; 0, COUNTIF(CA2:CA33,CA22), "")</f>
        <v/>
      </c>
      <c r="CC22" s="51" t="str">
        <f t="shared" si="19"/>
        <v/>
      </c>
      <c r="CD22" s="6" t="str">
        <f t="shared" si="20"/>
        <v/>
      </c>
      <c r="CE22" s="46">
        <f>32-(COUNTIF(A2:A33,""))</f>
        <v>0</v>
      </c>
    </row>
    <row r="23" spans="1:83" x14ac:dyDescent="0.25">
      <c r="A23" s="2" t="str">
        <f>IF('Score joueurs'!A23="","", 'Score joueurs'!A23)</f>
        <v/>
      </c>
      <c r="B23" s="37"/>
      <c r="C23" s="37"/>
      <c r="D23" s="37" t="str">
        <f>IF(COUNTIF(C2:C33,C23) &gt; 0, COUNTIF(C2:C33,C23), "")</f>
        <v/>
      </c>
      <c r="E23" s="49" t="str">
        <f t="shared" si="0"/>
        <v/>
      </c>
      <c r="F23" s="1"/>
      <c r="G23" s="1"/>
      <c r="H23" s="4" t="str">
        <f>IF(COUNTIF(G2:G33,G23) &gt; 0, COUNTIF(G2:G33,G23), "")</f>
        <v/>
      </c>
      <c r="I23" s="51" t="str">
        <f t="shared" si="1"/>
        <v/>
      </c>
      <c r="J23" s="38"/>
      <c r="K23" s="38"/>
      <c r="L23" s="37" t="str">
        <f>IF(COUNTIF(K2:K33,K23) &gt; 0, COUNTIF(K2:K33,K23), "")</f>
        <v/>
      </c>
      <c r="M23" s="49" t="str">
        <f t="shared" si="2"/>
        <v/>
      </c>
      <c r="N23" s="1"/>
      <c r="O23" s="1"/>
      <c r="P23" s="4" t="str">
        <f>IF(COUNTIF(O2:O33,O23) &gt; 0, COUNTIF(O2:O33,O23), "")</f>
        <v/>
      </c>
      <c r="Q23" s="51" t="str">
        <f t="shared" si="3"/>
        <v/>
      </c>
      <c r="R23" s="38"/>
      <c r="S23" s="38"/>
      <c r="T23" s="37" t="str">
        <f>IF(COUNTIF(S2:S33,S23) &gt; 0, COUNTIF(S2:S33,S23), "")</f>
        <v/>
      </c>
      <c r="U23" s="49" t="str">
        <f t="shared" si="4"/>
        <v/>
      </c>
      <c r="V23" s="1"/>
      <c r="W23" s="1"/>
      <c r="X23" s="4" t="str">
        <f>IF(COUNTIF(W2:W33,W23) &gt; 0, COUNTIF(W2:W33,W23), "")</f>
        <v/>
      </c>
      <c r="Y23" s="51" t="str">
        <f t="shared" si="5"/>
        <v/>
      </c>
      <c r="Z23" s="38"/>
      <c r="AA23" s="38"/>
      <c r="AB23" s="37" t="str">
        <f>IF(COUNTIF(AA2:AA33,AA23) &gt; 0, COUNTIF(AA2:AA33,AA23), "")</f>
        <v/>
      </c>
      <c r="AC23" s="49" t="str">
        <f t="shared" si="6"/>
        <v/>
      </c>
      <c r="AD23" s="1"/>
      <c r="AE23" s="1"/>
      <c r="AF23" s="4" t="str">
        <f>IF(COUNTIF(AE2:AE33,AE23) &gt; 0, COUNTIF(AE2:AE33,AE23), "")</f>
        <v/>
      </c>
      <c r="AG23" s="51" t="str">
        <f t="shared" si="7"/>
        <v/>
      </c>
      <c r="AH23" s="38"/>
      <c r="AI23" s="38"/>
      <c r="AJ23" s="37" t="str">
        <f>IF(COUNTIF(AI2:AI33,AI23) &gt; 0, COUNTIF(AI2:AI33,AI23), "")</f>
        <v/>
      </c>
      <c r="AK23" s="49" t="str">
        <f t="shared" si="8"/>
        <v/>
      </c>
      <c r="AL23" s="1"/>
      <c r="AM23" s="1"/>
      <c r="AN23" s="4" t="str">
        <f>IF(COUNTIF(AM2:AM33,AM23) &gt; 0, COUNTIF(AM2:AM33,AM23), "")</f>
        <v/>
      </c>
      <c r="AO23" s="51" t="str">
        <f t="shared" si="9"/>
        <v/>
      </c>
      <c r="AP23" s="38"/>
      <c r="AQ23" s="38"/>
      <c r="AR23" s="37" t="str">
        <f>IF(COUNTIF(AQ2:AQ33,AQ23) &gt; 0, COUNTIF(AQ2:AQ33,AQ23), "")</f>
        <v/>
      </c>
      <c r="AS23" s="49" t="str">
        <f t="shared" si="10"/>
        <v/>
      </c>
      <c r="AT23" s="1"/>
      <c r="AU23" s="1"/>
      <c r="AV23" s="4" t="str">
        <f>IF(COUNTIF(AU2:AU33,AU23) &gt; 0, COUNTIF(AU2:AU33,AU23), "")</f>
        <v/>
      </c>
      <c r="AW23" s="51" t="str">
        <f t="shared" si="11"/>
        <v/>
      </c>
      <c r="AX23" s="38"/>
      <c r="AY23" s="38"/>
      <c r="AZ23" s="37" t="str">
        <f>IF(COUNTIF(AY2:AY33,AY23) &gt; 0, COUNTIF(AY2:AY33,AY23), "")</f>
        <v/>
      </c>
      <c r="BA23" s="49" t="str">
        <f t="shared" si="12"/>
        <v/>
      </c>
      <c r="BB23" s="1"/>
      <c r="BC23" s="1"/>
      <c r="BD23" s="4" t="str">
        <f>IF(COUNTIF(BC2:BC33,BC23) &gt; 0, COUNTIF(BC2:BC33,BC23), "")</f>
        <v/>
      </c>
      <c r="BE23" s="51" t="str">
        <f t="shared" si="13"/>
        <v/>
      </c>
      <c r="BF23" s="38"/>
      <c r="BG23" s="38"/>
      <c r="BH23" s="37" t="str">
        <f>IF(COUNTIF(BG2:BG33,BG23) &gt; 0, COUNTIF(BG2:BG33,BG23), "")</f>
        <v/>
      </c>
      <c r="BI23" s="49" t="str">
        <f t="shared" si="14"/>
        <v/>
      </c>
      <c r="BJ23" s="1"/>
      <c r="BK23" s="1"/>
      <c r="BL23" s="4" t="str">
        <f>IF(COUNTIF(BK2:BK33,BK23) &gt; 0, COUNTIF(BK2:BK33,BK23), "")</f>
        <v/>
      </c>
      <c r="BM23" s="51" t="str">
        <f t="shared" si="15"/>
        <v/>
      </c>
      <c r="BN23" s="38"/>
      <c r="BO23" s="38"/>
      <c r="BP23" s="37" t="str">
        <f>IF(COUNTIF(BO2:BO33,BO23) &gt; 0, COUNTIF(BO2:BO33,BO23), "")</f>
        <v/>
      </c>
      <c r="BQ23" s="49" t="str">
        <f t="shared" si="16"/>
        <v/>
      </c>
      <c r="BR23" s="1"/>
      <c r="BS23" s="1"/>
      <c r="BT23" s="4" t="str">
        <f>IF(COUNTIF(BS2:BS33,BS23) &gt; 0, COUNTIF(BS2:BS33,BS23), "")</f>
        <v/>
      </c>
      <c r="BU23" s="51" t="str">
        <f t="shared" si="17"/>
        <v/>
      </c>
      <c r="BV23" s="38"/>
      <c r="BW23" s="38"/>
      <c r="BX23" s="37" t="str">
        <f>IF(COUNTIF(BW2:BW33,BW23) &gt; 0, COUNTIF(BW2:BW33,BW23), "")</f>
        <v/>
      </c>
      <c r="BY23" s="49" t="str">
        <f t="shared" si="18"/>
        <v/>
      </c>
      <c r="BZ23" s="1"/>
      <c r="CA23" s="1"/>
      <c r="CB23" s="4" t="str">
        <f>IF(COUNTIF(CA2:CA33,CA23) &gt; 0, COUNTIF(CA2:CA33,CA23), "")</f>
        <v/>
      </c>
      <c r="CC23" s="51" t="str">
        <f t="shared" si="19"/>
        <v/>
      </c>
      <c r="CD23" s="6" t="str">
        <f t="shared" si="20"/>
        <v/>
      </c>
      <c r="CE23" s="46">
        <f>32-(COUNTIF(A2:A33,""))</f>
        <v>0</v>
      </c>
    </row>
    <row r="24" spans="1:83" x14ac:dyDescent="0.25">
      <c r="A24" s="2" t="str">
        <f>IF('Score joueurs'!A24="","", 'Score joueurs'!A24)</f>
        <v/>
      </c>
      <c r="B24" s="38"/>
      <c r="C24" s="38"/>
      <c r="D24" s="37" t="str">
        <f>IF(COUNTIF(C2:C33,C24) &gt; 0, COUNTIF(C2:C33,C24), "")</f>
        <v/>
      </c>
      <c r="E24" s="49" t="str">
        <f t="shared" si="0"/>
        <v/>
      </c>
      <c r="F24" s="4"/>
      <c r="G24" s="4"/>
      <c r="H24" s="4" t="str">
        <f>IF(COUNTIF(G2:G33,G24) &gt; 0, COUNTIF(G2:G33,G24), "")</f>
        <v/>
      </c>
      <c r="I24" s="51" t="str">
        <f t="shared" si="1"/>
        <v/>
      </c>
      <c r="J24" s="37"/>
      <c r="K24" s="37"/>
      <c r="L24" s="37" t="str">
        <f>IF(COUNTIF(K2:K33,K24) &gt; 0, COUNTIF(K2:K33,K24), "")</f>
        <v/>
      </c>
      <c r="M24" s="49" t="str">
        <f t="shared" si="2"/>
        <v/>
      </c>
      <c r="N24" s="4"/>
      <c r="O24" s="4"/>
      <c r="P24" s="4" t="str">
        <f>IF(COUNTIF(O2:O33,O24) &gt; 0, COUNTIF(O2:O33,O24), "")</f>
        <v/>
      </c>
      <c r="Q24" s="51" t="str">
        <f t="shared" si="3"/>
        <v/>
      </c>
      <c r="R24" s="37"/>
      <c r="S24" s="37"/>
      <c r="T24" s="37" t="str">
        <f>IF(COUNTIF(S2:S33,S24) &gt; 0, COUNTIF(S2:S33,S24), "")</f>
        <v/>
      </c>
      <c r="U24" s="49" t="str">
        <f t="shared" si="4"/>
        <v/>
      </c>
      <c r="V24" s="4"/>
      <c r="W24" s="4"/>
      <c r="X24" s="4" t="str">
        <f>IF(COUNTIF(W2:W33,W24) &gt; 0, COUNTIF(W2:W33,W24), "")</f>
        <v/>
      </c>
      <c r="Y24" s="51" t="str">
        <f t="shared" si="5"/>
        <v/>
      </c>
      <c r="Z24" s="37"/>
      <c r="AA24" s="37"/>
      <c r="AB24" s="37" t="str">
        <f>IF(COUNTIF(AA2:AA33,AA24) &gt; 0, COUNTIF(AA2:AA33,AA24), "")</f>
        <v/>
      </c>
      <c r="AC24" s="49" t="str">
        <f t="shared" si="6"/>
        <v/>
      </c>
      <c r="AD24" s="4"/>
      <c r="AE24" s="4"/>
      <c r="AF24" s="4" t="str">
        <f>IF(COUNTIF(AE2:AE33,AE24) &gt; 0, COUNTIF(AE2:AE33,AE24), "")</f>
        <v/>
      </c>
      <c r="AG24" s="51" t="str">
        <f t="shared" si="7"/>
        <v/>
      </c>
      <c r="AH24" s="37"/>
      <c r="AI24" s="37"/>
      <c r="AJ24" s="37" t="str">
        <f>IF(COUNTIF(AI2:AI33,AI24) &gt; 0, COUNTIF(AI2:AI33,AI24), "")</f>
        <v/>
      </c>
      <c r="AK24" s="49" t="str">
        <f t="shared" si="8"/>
        <v/>
      </c>
      <c r="AL24" s="4"/>
      <c r="AM24" s="4"/>
      <c r="AN24" s="4" t="str">
        <f>IF(COUNTIF(AM2:AM33,AM24) &gt; 0, COUNTIF(AM2:AM33,AM24), "")</f>
        <v/>
      </c>
      <c r="AO24" s="51" t="str">
        <f t="shared" si="9"/>
        <v/>
      </c>
      <c r="AP24" s="37"/>
      <c r="AQ24" s="37"/>
      <c r="AR24" s="37" t="str">
        <f>IF(COUNTIF(AQ2:AQ33,AQ24) &gt; 0, COUNTIF(AQ2:AQ33,AQ24), "")</f>
        <v/>
      </c>
      <c r="AS24" s="49" t="str">
        <f t="shared" si="10"/>
        <v/>
      </c>
      <c r="AT24" s="4"/>
      <c r="AU24" s="4"/>
      <c r="AV24" s="4" t="str">
        <f>IF(COUNTIF(AU2:AU33,AU24) &gt; 0, COUNTIF(AU2:AU33,AU24), "")</f>
        <v/>
      </c>
      <c r="AW24" s="51" t="str">
        <f t="shared" si="11"/>
        <v/>
      </c>
      <c r="AX24" s="37"/>
      <c r="AY24" s="37"/>
      <c r="AZ24" s="37" t="str">
        <f>IF(COUNTIF(AY2:AY33,AY24) &gt; 0, COUNTIF(AY2:AY33,AY24), "")</f>
        <v/>
      </c>
      <c r="BA24" s="49" t="str">
        <f t="shared" si="12"/>
        <v/>
      </c>
      <c r="BB24" s="4"/>
      <c r="BC24" s="4"/>
      <c r="BD24" s="4" t="str">
        <f>IF(COUNTIF(BC2:BC33,BC24) &gt; 0, COUNTIF(BC2:BC33,BC24), "")</f>
        <v/>
      </c>
      <c r="BE24" s="51" t="str">
        <f t="shared" si="13"/>
        <v/>
      </c>
      <c r="BF24" s="37"/>
      <c r="BG24" s="37"/>
      <c r="BH24" s="37" t="str">
        <f>IF(COUNTIF(BG2:BG33,BG24) &gt; 0, COUNTIF(BG2:BG33,BG24), "")</f>
        <v/>
      </c>
      <c r="BI24" s="49" t="str">
        <f t="shared" si="14"/>
        <v/>
      </c>
      <c r="BJ24" s="4"/>
      <c r="BK24" s="4"/>
      <c r="BL24" s="4" t="str">
        <f>IF(COUNTIF(BK2:BK33,BK24) &gt; 0, COUNTIF(BK2:BK33,BK24), "")</f>
        <v/>
      </c>
      <c r="BM24" s="51" t="str">
        <f t="shared" si="15"/>
        <v/>
      </c>
      <c r="BN24" s="37"/>
      <c r="BO24" s="37"/>
      <c r="BP24" s="37" t="str">
        <f>IF(COUNTIF(BO2:BO33,BO24) &gt; 0, COUNTIF(BO2:BO33,BO24), "")</f>
        <v/>
      </c>
      <c r="BQ24" s="49" t="str">
        <f t="shared" si="16"/>
        <v/>
      </c>
      <c r="BR24" s="4"/>
      <c r="BS24" s="4"/>
      <c r="BT24" s="4" t="str">
        <f>IF(COUNTIF(BS2:BS33,BS24) &gt; 0, COUNTIF(BS2:BS33,BS24), "")</f>
        <v/>
      </c>
      <c r="BU24" s="51" t="str">
        <f t="shared" si="17"/>
        <v/>
      </c>
      <c r="BV24" s="37"/>
      <c r="BW24" s="37"/>
      <c r="BX24" s="37" t="str">
        <f>IF(COUNTIF(BW2:BW33,BW24) &gt; 0, COUNTIF(BW2:BW33,BW24), "")</f>
        <v/>
      </c>
      <c r="BY24" s="49" t="str">
        <f t="shared" si="18"/>
        <v/>
      </c>
      <c r="BZ24" s="4"/>
      <c r="CA24" s="4"/>
      <c r="CB24" s="4" t="str">
        <f>IF(COUNTIF(CA2:CA33,CA24) &gt; 0, COUNTIF(CA2:CA33,CA24), "")</f>
        <v/>
      </c>
      <c r="CC24" s="51" t="str">
        <f t="shared" si="19"/>
        <v/>
      </c>
      <c r="CD24" s="6" t="str">
        <f t="shared" si="20"/>
        <v/>
      </c>
      <c r="CE24" s="46">
        <f>32-(COUNTIF(A2:A33,""))</f>
        <v>0</v>
      </c>
    </row>
    <row r="25" spans="1:83" x14ac:dyDescent="0.25">
      <c r="A25" s="2" t="str">
        <f>IF('Score joueurs'!A25="","", 'Score joueurs'!A25)</f>
        <v/>
      </c>
      <c r="B25" s="37"/>
      <c r="C25" s="37"/>
      <c r="D25" s="37" t="str">
        <f>IF(COUNTIF(C2:C33,C25) &gt; 0, COUNTIF(C2:C33,C25), "")</f>
        <v/>
      </c>
      <c r="E25" s="49" t="str">
        <f t="shared" si="0"/>
        <v/>
      </c>
      <c r="F25" s="1"/>
      <c r="G25" s="1"/>
      <c r="H25" s="4" t="str">
        <f>IF(COUNTIF(G2:G33,G25) &gt; 0, COUNTIF(G2:G33,G25), "")</f>
        <v/>
      </c>
      <c r="I25" s="51" t="str">
        <f t="shared" si="1"/>
        <v/>
      </c>
      <c r="J25" s="38"/>
      <c r="K25" s="38"/>
      <c r="L25" s="37" t="str">
        <f>IF(COUNTIF(K2:K33,K25) &gt; 0, COUNTIF(K2:K33,K25), "")</f>
        <v/>
      </c>
      <c r="M25" s="49" t="str">
        <f t="shared" si="2"/>
        <v/>
      </c>
      <c r="N25" s="1"/>
      <c r="O25" s="1"/>
      <c r="P25" s="4" t="str">
        <f>IF(COUNTIF(O2:O33,O25) &gt; 0, COUNTIF(O2:O33,O25), "")</f>
        <v/>
      </c>
      <c r="Q25" s="51" t="str">
        <f t="shared" si="3"/>
        <v/>
      </c>
      <c r="R25" s="38"/>
      <c r="S25" s="38"/>
      <c r="T25" s="37" t="str">
        <f>IF(COUNTIF(S2:S33,S25) &gt; 0, COUNTIF(S2:S33,S25), "")</f>
        <v/>
      </c>
      <c r="U25" s="49" t="str">
        <f t="shared" si="4"/>
        <v/>
      </c>
      <c r="V25" s="1"/>
      <c r="W25" s="1"/>
      <c r="X25" s="4" t="str">
        <f>IF(COUNTIF(W2:W33,W25) &gt; 0, COUNTIF(W2:W33,W25), "")</f>
        <v/>
      </c>
      <c r="Y25" s="51" t="str">
        <f t="shared" si="5"/>
        <v/>
      </c>
      <c r="Z25" s="38"/>
      <c r="AA25" s="38"/>
      <c r="AB25" s="37" t="str">
        <f>IF(COUNTIF(AA2:AA33,AA25) &gt; 0, COUNTIF(AA2:AA33,AA25), "")</f>
        <v/>
      </c>
      <c r="AC25" s="49" t="str">
        <f t="shared" si="6"/>
        <v/>
      </c>
      <c r="AD25" s="1"/>
      <c r="AE25" s="1"/>
      <c r="AF25" s="4" t="str">
        <f>IF(COUNTIF(AE2:AE33,AE25) &gt; 0, COUNTIF(AE2:AE33,AE25), "")</f>
        <v/>
      </c>
      <c r="AG25" s="51" t="str">
        <f t="shared" si="7"/>
        <v/>
      </c>
      <c r="AH25" s="38"/>
      <c r="AI25" s="38"/>
      <c r="AJ25" s="37" t="str">
        <f>IF(COUNTIF(AI2:AI33,AI25) &gt; 0, COUNTIF(AI2:AI33,AI25), "")</f>
        <v/>
      </c>
      <c r="AK25" s="49" t="str">
        <f t="shared" si="8"/>
        <v/>
      </c>
      <c r="AL25" s="1"/>
      <c r="AM25" s="1"/>
      <c r="AN25" s="4" t="str">
        <f>IF(COUNTIF(AM2:AM33,AM25) &gt; 0, COUNTIF(AM2:AM33,AM25), "")</f>
        <v/>
      </c>
      <c r="AO25" s="51" t="str">
        <f t="shared" si="9"/>
        <v/>
      </c>
      <c r="AP25" s="38"/>
      <c r="AQ25" s="38"/>
      <c r="AR25" s="37" t="str">
        <f>IF(COUNTIF(AQ2:AQ33,AQ25) &gt; 0, COUNTIF(AQ2:AQ33,AQ25), "")</f>
        <v/>
      </c>
      <c r="AS25" s="49" t="str">
        <f t="shared" si="10"/>
        <v/>
      </c>
      <c r="AT25" s="1"/>
      <c r="AU25" s="1"/>
      <c r="AV25" s="4" t="str">
        <f>IF(COUNTIF(AU2:AU33,AU25) &gt; 0, COUNTIF(AU2:AU33,AU25), "")</f>
        <v/>
      </c>
      <c r="AW25" s="51" t="str">
        <f t="shared" si="11"/>
        <v/>
      </c>
      <c r="AX25" s="38"/>
      <c r="AY25" s="38"/>
      <c r="AZ25" s="37" t="str">
        <f>IF(COUNTIF(AY2:AY33,AY25) &gt; 0, COUNTIF(AY2:AY33,AY25), "")</f>
        <v/>
      </c>
      <c r="BA25" s="49" t="str">
        <f t="shared" si="12"/>
        <v/>
      </c>
      <c r="BB25" s="1"/>
      <c r="BC25" s="1"/>
      <c r="BD25" s="4" t="str">
        <f>IF(COUNTIF(BC2:BC33,BC25) &gt; 0, COUNTIF(BC2:BC33,BC25), "")</f>
        <v/>
      </c>
      <c r="BE25" s="51" t="str">
        <f t="shared" si="13"/>
        <v/>
      </c>
      <c r="BF25" s="38"/>
      <c r="BG25" s="38"/>
      <c r="BH25" s="37" t="str">
        <f>IF(COUNTIF(BG2:BG33,BG25) &gt; 0, COUNTIF(BG2:BG33,BG25), "")</f>
        <v/>
      </c>
      <c r="BI25" s="49" t="str">
        <f t="shared" si="14"/>
        <v/>
      </c>
      <c r="BJ25" s="1"/>
      <c r="BK25" s="1"/>
      <c r="BL25" s="4" t="str">
        <f>IF(COUNTIF(BK2:BK33,BK25) &gt; 0, COUNTIF(BK2:BK33,BK25), "")</f>
        <v/>
      </c>
      <c r="BM25" s="51" t="str">
        <f t="shared" si="15"/>
        <v/>
      </c>
      <c r="BN25" s="38"/>
      <c r="BO25" s="38"/>
      <c r="BP25" s="37" t="str">
        <f>IF(COUNTIF(BO2:BO33,BO25) &gt; 0, COUNTIF(BO2:BO33,BO25), "")</f>
        <v/>
      </c>
      <c r="BQ25" s="49" t="str">
        <f t="shared" si="16"/>
        <v/>
      </c>
      <c r="BR25" s="1"/>
      <c r="BS25" s="1"/>
      <c r="BT25" s="4" t="str">
        <f>IF(COUNTIF(BS2:BS33,BS25) &gt; 0, COUNTIF(BS2:BS33,BS25), "")</f>
        <v/>
      </c>
      <c r="BU25" s="51" t="str">
        <f t="shared" si="17"/>
        <v/>
      </c>
      <c r="BV25" s="38"/>
      <c r="BW25" s="38"/>
      <c r="BX25" s="37" t="str">
        <f>IF(COUNTIF(BW2:BW33,BW25) &gt; 0, COUNTIF(BW2:BW33,BW25), "")</f>
        <v/>
      </c>
      <c r="BY25" s="49" t="str">
        <f t="shared" si="18"/>
        <v/>
      </c>
      <c r="BZ25" s="1"/>
      <c r="CA25" s="1"/>
      <c r="CB25" s="4" t="str">
        <f>IF(COUNTIF(CA2:CA33,CA25) &gt; 0, COUNTIF(CA2:CA33,CA25), "")</f>
        <v/>
      </c>
      <c r="CC25" s="51" t="str">
        <f t="shared" si="19"/>
        <v/>
      </c>
      <c r="CD25" s="6" t="str">
        <f t="shared" si="20"/>
        <v/>
      </c>
      <c r="CE25" s="46">
        <f>32-(COUNTIF(A2:A33,""))</f>
        <v>0</v>
      </c>
    </row>
    <row r="26" spans="1:83" x14ac:dyDescent="0.25">
      <c r="A26" s="2" t="str">
        <f>IF('Score joueurs'!A26="","", 'Score joueurs'!A26)</f>
        <v/>
      </c>
      <c r="B26" s="37"/>
      <c r="C26" s="37"/>
      <c r="D26" s="37" t="str">
        <f>IF(COUNTIF(C2:C33,C26) &gt; 0, COUNTIF(C2:C33,C26), "")</f>
        <v/>
      </c>
      <c r="E26" s="49" t="str">
        <f t="shared" si="0"/>
        <v/>
      </c>
      <c r="F26" s="4"/>
      <c r="G26" s="4"/>
      <c r="H26" s="4" t="str">
        <f>IF(COUNTIF(G2:G33,G26) &gt; 0, COUNTIF(G2:G33,G26), "")</f>
        <v/>
      </c>
      <c r="I26" s="51" t="str">
        <f t="shared" si="1"/>
        <v/>
      </c>
      <c r="J26" s="37"/>
      <c r="K26" s="37"/>
      <c r="L26" s="37" t="str">
        <f>IF(COUNTIF(K2:K33,K26) &gt; 0, COUNTIF(K2:K33,K26), "")</f>
        <v/>
      </c>
      <c r="M26" s="49" t="str">
        <f t="shared" si="2"/>
        <v/>
      </c>
      <c r="N26" s="4"/>
      <c r="O26" s="4"/>
      <c r="P26" s="4" t="str">
        <f>IF(COUNTIF(O2:O33,O26) &gt; 0, COUNTIF(O2:O33,O26), "")</f>
        <v/>
      </c>
      <c r="Q26" s="51" t="str">
        <f t="shared" si="3"/>
        <v/>
      </c>
      <c r="R26" s="37"/>
      <c r="S26" s="37"/>
      <c r="T26" s="37" t="str">
        <f>IF(COUNTIF(S2:S33,S26) &gt; 0, COUNTIF(S2:S33,S26), "")</f>
        <v/>
      </c>
      <c r="U26" s="49" t="str">
        <f t="shared" si="4"/>
        <v/>
      </c>
      <c r="V26" s="4"/>
      <c r="W26" s="4"/>
      <c r="X26" s="4" t="str">
        <f>IF(COUNTIF(W2:W33,W26) &gt; 0, COUNTIF(W2:W33,W26), "")</f>
        <v/>
      </c>
      <c r="Y26" s="51" t="str">
        <f t="shared" si="5"/>
        <v/>
      </c>
      <c r="Z26" s="37"/>
      <c r="AA26" s="37"/>
      <c r="AB26" s="37" t="str">
        <f>IF(COUNTIF(AA2:AA33,AA26) &gt; 0, COUNTIF(AA2:AA33,AA26), "")</f>
        <v/>
      </c>
      <c r="AC26" s="49" t="str">
        <f t="shared" si="6"/>
        <v/>
      </c>
      <c r="AD26" s="4"/>
      <c r="AE26" s="4"/>
      <c r="AF26" s="4" t="str">
        <f>IF(COUNTIF(AE2:AE33,AE26) &gt; 0, COUNTIF(AE2:AE33,AE26), "")</f>
        <v/>
      </c>
      <c r="AG26" s="51" t="str">
        <f t="shared" si="7"/>
        <v/>
      </c>
      <c r="AH26" s="37"/>
      <c r="AI26" s="37"/>
      <c r="AJ26" s="37" t="str">
        <f>IF(COUNTIF(AI2:AI33,AI26) &gt; 0, COUNTIF(AI2:AI33,AI26), "")</f>
        <v/>
      </c>
      <c r="AK26" s="49" t="str">
        <f t="shared" si="8"/>
        <v/>
      </c>
      <c r="AL26" s="4"/>
      <c r="AM26" s="4"/>
      <c r="AN26" s="4" t="str">
        <f>IF(COUNTIF(AM2:AM33,AM26) &gt; 0, COUNTIF(AM2:AM33,AM26), "")</f>
        <v/>
      </c>
      <c r="AO26" s="51" t="str">
        <f t="shared" si="9"/>
        <v/>
      </c>
      <c r="AP26" s="37"/>
      <c r="AQ26" s="37"/>
      <c r="AR26" s="37" t="str">
        <f>IF(COUNTIF(AQ2:AQ33,AQ26) &gt; 0, COUNTIF(AQ2:AQ33,AQ26), "")</f>
        <v/>
      </c>
      <c r="AS26" s="49" t="str">
        <f t="shared" si="10"/>
        <v/>
      </c>
      <c r="AT26" s="4"/>
      <c r="AU26" s="4"/>
      <c r="AV26" s="4" t="str">
        <f>IF(COUNTIF(AU2:AU33,AU26) &gt; 0, COUNTIF(AU2:AU33,AU26), "")</f>
        <v/>
      </c>
      <c r="AW26" s="51" t="str">
        <f t="shared" si="11"/>
        <v/>
      </c>
      <c r="AX26" s="37"/>
      <c r="AY26" s="37"/>
      <c r="AZ26" s="37" t="str">
        <f>IF(COUNTIF(AY2:AY33,AY26) &gt; 0, COUNTIF(AY2:AY33,AY26), "")</f>
        <v/>
      </c>
      <c r="BA26" s="49" t="str">
        <f t="shared" si="12"/>
        <v/>
      </c>
      <c r="BB26" s="4"/>
      <c r="BC26" s="4"/>
      <c r="BD26" s="4" t="str">
        <f>IF(COUNTIF(BC2:BC33,BC26) &gt; 0, COUNTIF(BC2:BC33,BC26), "")</f>
        <v/>
      </c>
      <c r="BE26" s="51" t="str">
        <f t="shared" si="13"/>
        <v/>
      </c>
      <c r="BF26" s="37"/>
      <c r="BG26" s="37"/>
      <c r="BH26" s="37" t="str">
        <f>IF(COUNTIF(BG2:BG33,BG26) &gt; 0, COUNTIF(BG2:BG33,BG26), "")</f>
        <v/>
      </c>
      <c r="BI26" s="49" t="str">
        <f t="shared" si="14"/>
        <v/>
      </c>
      <c r="BJ26" s="4"/>
      <c r="BK26" s="4"/>
      <c r="BL26" s="4" t="str">
        <f>IF(COUNTIF(BK2:BK33,BK26) &gt; 0, COUNTIF(BK2:BK33,BK26), "")</f>
        <v/>
      </c>
      <c r="BM26" s="51" t="str">
        <f t="shared" si="15"/>
        <v/>
      </c>
      <c r="BN26" s="37"/>
      <c r="BO26" s="37"/>
      <c r="BP26" s="37" t="str">
        <f>IF(COUNTIF(BO2:BO33,BO26) &gt; 0, COUNTIF(BO2:BO33,BO26), "")</f>
        <v/>
      </c>
      <c r="BQ26" s="49" t="str">
        <f t="shared" si="16"/>
        <v/>
      </c>
      <c r="BR26" s="4"/>
      <c r="BS26" s="4"/>
      <c r="BT26" s="4" t="str">
        <f>IF(COUNTIF(BS2:BS33,BS26) &gt; 0, COUNTIF(BS2:BS33,BS26), "")</f>
        <v/>
      </c>
      <c r="BU26" s="51" t="str">
        <f t="shared" si="17"/>
        <v/>
      </c>
      <c r="BV26" s="37"/>
      <c r="BW26" s="37"/>
      <c r="BX26" s="37" t="str">
        <f>IF(COUNTIF(BW2:BW33,BW26) &gt; 0, COUNTIF(BW2:BW33,BW26), "")</f>
        <v/>
      </c>
      <c r="BY26" s="49" t="str">
        <f t="shared" si="18"/>
        <v/>
      </c>
      <c r="BZ26" s="4"/>
      <c r="CA26" s="4"/>
      <c r="CB26" s="4" t="str">
        <f>IF(COUNTIF(CA2:CA33,CA26) &gt; 0, COUNTIF(CA2:CA33,CA26), "")</f>
        <v/>
      </c>
      <c r="CC26" s="51" t="str">
        <f t="shared" si="19"/>
        <v/>
      </c>
      <c r="CD26" s="6" t="str">
        <f t="shared" si="20"/>
        <v/>
      </c>
      <c r="CE26" s="46">
        <f>32-(COUNTIF(A2:A33,""))</f>
        <v>0</v>
      </c>
    </row>
    <row r="27" spans="1:83" x14ac:dyDescent="0.25">
      <c r="A27" s="2" t="str">
        <f>IF('Score joueurs'!A27="","", 'Score joueurs'!A27)</f>
        <v/>
      </c>
      <c r="B27" s="38"/>
      <c r="C27" s="38"/>
      <c r="D27" s="37" t="str">
        <f>IF(COUNTIF(C2:C33,C27) &gt; 0, COUNTIF(C2:C33,C27), "")</f>
        <v/>
      </c>
      <c r="E27" s="49" t="str">
        <f t="shared" si="0"/>
        <v/>
      </c>
      <c r="F27" s="1"/>
      <c r="G27" s="1"/>
      <c r="H27" s="4" t="str">
        <f>IF(COUNTIF(G2:G33,G27) &gt; 0, COUNTIF(G2:G33,G27), "")</f>
        <v/>
      </c>
      <c r="I27" s="51" t="str">
        <f t="shared" si="1"/>
        <v/>
      </c>
      <c r="J27" s="38"/>
      <c r="K27" s="38"/>
      <c r="L27" s="37" t="str">
        <f>IF(COUNTIF(K2:K33,K27) &gt; 0, COUNTIF(K2:K33,K27), "")</f>
        <v/>
      </c>
      <c r="M27" s="49" t="str">
        <f t="shared" si="2"/>
        <v/>
      </c>
      <c r="N27" s="1"/>
      <c r="O27" s="1"/>
      <c r="P27" s="4" t="str">
        <f>IF(COUNTIF(O2:O33,O27) &gt; 0, COUNTIF(O2:O33,O27), "")</f>
        <v/>
      </c>
      <c r="Q27" s="51" t="str">
        <f t="shared" si="3"/>
        <v/>
      </c>
      <c r="R27" s="38"/>
      <c r="S27" s="38"/>
      <c r="T27" s="37" t="str">
        <f>IF(COUNTIF(S2:S33,S27) &gt; 0, COUNTIF(S2:S33,S27), "")</f>
        <v/>
      </c>
      <c r="U27" s="49" t="str">
        <f t="shared" si="4"/>
        <v/>
      </c>
      <c r="V27" s="1"/>
      <c r="W27" s="1"/>
      <c r="X27" s="4" t="str">
        <f>IF(COUNTIF(W2:W33,W27) &gt; 0, COUNTIF(W2:W33,W27), "")</f>
        <v/>
      </c>
      <c r="Y27" s="51" t="str">
        <f t="shared" si="5"/>
        <v/>
      </c>
      <c r="Z27" s="38"/>
      <c r="AA27" s="38"/>
      <c r="AB27" s="37" t="str">
        <f>IF(COUNTIF(AA2:AA33,AA27) &gt; 0, COUNTIF(AA2:AA33,AA27), "")</f>
        <v/>
      </c>
      <c r="AC27" s="49" t="str">
        <f t="shared" si="6"/>
        <v/>
      </c>
      <c r="AD27" s="1"/>
      <c r="AE27" s="1"/>
      <c r="AF27" s="4" t="str">
        <f>IF(COUNTIF(AE2:AE33,AE27) &gt; 0, COUNTIF(AE2:AE33,AE27), "")</f>
        <v/>
      </c>
      <c r="AG27" s="51" t="str">
        <f t="shared" si="7"/>
        <v/>
      </c>
      <c r="AH27" s="38"/>
      <c r="AI27" s="38"/>
      <c r="AJ27" s="37" t="str">
        <f>IF(COUNTIF(AI2:AI33,AI27) &gt; 0, COUNTIF(AI2:AI33,AI27), "")</f>
        <v/>
      </c>
      <c r="AK27" s="49" t="str">
        <f t="shared" si="8"/>
        <v/>
      </c>
      <c r="AL27" s="1"/>
      <c r="AM27" s="1"/>
      <c r="AN27" s="4" t="str">
        <f>IF(COUNTIF(AM2:AM33,AM27) &gt; 0, COUNTIF(AM2:AM33,AM27), "")</f>
        <v/>
      </c>
      <c r="AO27" s="51" t="str">
        <f t="shared" si="9"/>
        <v/>
      </c>
      <c r="AP27" s="38"/>
      <c r="AQ27" s="38"/>
      <c r="AR27" s="37" t="str">
        <f>IF(COUNTIF(AQ2:AQ33,AQ27) &gt; 0, COUNTIF(AQ2:AQ33,AQ27), "")</f>
        <v/>
      </c>
      <c r="AS27" s="49" t="str">
        <f t="shared" si="10"/>
        <v/>
      </c>
      <c r="AT27" s="1"/>
      <c r="AU27" s="1"/>
      <c r="AV27" s="4" t="str">
        <f>IF(COUNTIF(AU2:AU33,AU27) &gt; 0, COUNTIF(AU2:AU33,AU27), "")</f>
        <v/>
      </c>
      <c r="AW27" s="51" t="str">
        <f t="shared" si="11"/>
        <v/>
      </c>
      <c r="AX27" s="38"/>
      <c r="AY27" s="38"/>
      <c r="AZ27" s="37" t="str">
        <f>IF(COUNTIF(AY2:AY33,AY27) &gt; 0, COUNTIF(AY2:AY33,AY27), "")</f>
        <v/>
      </c>
      <c r="BA27" s="49" t="str">
        <f t="shared" si="12"/>
        <v/>
      </c>
      <c r="BB27" s="1"/>
      <c r="BC27" s="1"/>
      <c r="BD27" s="4" t="str">
        <f>IF(COUNTIF(BC2:BC33,BC27) &gt; 0, COUNTIF(BC2:BC33,BC27), "")</f>
        <v/>
      </c>
      <c r="BE27" s="51" t="str">
        <f t="shared" si="13"/>
        <v/>
      </c>
      <c r="BF27" s="38"/>
      <c r="BG27" s="38"/>
      <c r="BH27" s="37" t="str">
        <f>IF(COUNTIF(BG2:BG33,BG27) &gt; 0, COUNTIF(BG2:BG33,BG27), "")</f>
        <v/>
      </c>
      <c r="BI27" s="49" t="str">
        <f t="shared" si="14"/>
        <v/>
      </c>
      <c r="BJ27" s="1"/>
      <c r="BK27" s="1"/>
      <c r="BL27" s="4" t="str">
        <f>IF(COUNTIF(BK2:BK33,BK27) &gt; 0, COUNTIF(BK2:BK33,BK27), "")</f>
        <v/>
      </c>
      <c r="BM27" s="51" t="str">
        <f t="shared" si="15"/>
        <v/>
      </c>
      <c r="BN27" s="38"/>
      <c r="BO27" s="38"/>
      <c r="BP27" s="37" t="str">
        <f>IF(COUNTIF(BO2:BO33,BO27) &gt; 0, COUNTIF(BO2:BO33,BO27), "")</f>
        <v/>
      </c>
      <c r="BQ27" s="49" t="str">
        <f t="shared" si="16"/>
        <v/>
      </c>
      <c r="BR27" s="1"/>
      <c r="BS27" s="1"/>
      <c r="BT27" s="4" t="str">
        <f>IF(COUNTIF(BS2:BS33,BS27) &gt; 0, COUNTIF(BS2:BS33,BS27), "")</f>
        <v/>
      </c>
      <c r="BU27" s="51" t="str">
        <f t="shared" si="17"/>
        <v/>
      </c>
      <c r="BV27" s="38"/>
      <c r="BW27" s="38"/>
      <c r="BX27" s="37" t="str">
        <f>IF(COUNTIF(BW2:BW33,BW27) &gt; 0, COUNTIF(BW2:BW33,BW27), "")</f>
        <v/>
      </c>
      <c r="BY27" s="49" t="str">
        <f t="shared" si="18"/>
        <v/>
      </c>
      <c r="BZ27" s="1"/>
      <c r="CA27" s="1"/>
      <c r="CB27" s="4" t="str">
        <f>IF(COUNTIF(CA2:CA33,CA27) &gt; 0, COUNTIF(CA2:CA33,CA27), "")</f>
        <v/>
      </c>
      <c r="CC27" s="51" t="str">
        <f t="shared" si="19"/>
        <v/>
      </c>
      <c r="CD27" s="6" t="str">
        <f t="shared" si="20"/>
        <v/>
      </c>
      <c r="CE27" s="46">
        <f>32-(COUNTIF(A2:A33,""))</f>
        <v>0</v>
      </c>
    </row>
    <row r="28" spans="1:83" x14ac:dyDescent="0.25">
      <c r="A28" s="2" t="str">
        <f>IF('Score joueurs'!A28="","", 'Score joueurs'!A28)</f>
        <v/>
      </c>
      <c r="B28" s="37"/>
      <c r="C28" s="37"/>
      <c r="D28" s="37" t="str">
        <f>IF(COUNTIF(C2:C33,C28) &gt; 0, COUNTIF(C2:C33,C28), "")</f>
        <v/>
      </c>
      <c r="E28" s="49" t="str">
        <f t="shared" si="0"/>
        <v/>
      </c>
      <c r="F28" s="4"/>
      <c r="G28" s="4"/>
      <c r="H28" s="4" t="str">
        <f>IF(COUNTIF(G2:G33,G28) &gt; 0, COUNTIF(G2:G33,G28), "")</f>
        <v/>
      </c>
      <c r="I28" s="51" t="str">
        <f t="shared" si="1"/>
        <v/>
      </c>
      <c r="J28" s="37"/>
      <c r="K28" s="37"/>
      <c r="L28" s="37" t="str">
        <f>IF(COUNTIF(K2:K33,K28) &gt; 0, COUNTIF(K2:K33,K28), "")</f>
        <v/>
      </c>
      <c r="M28" s="49" t="str">
        <f t="shared" si="2"/>
        <v/>
      </c>
      <c r="N28" s="4"/>
      <c r="O28" s="4"/>
      <c r="P28" s="4" t="str">
        <f>IF(COUNTIF(O2:O33,O28) &gt; 0, COUNTIF(O2:O33,O28), "")</f>
        <v/>
      </c>
      <c r="Q28" s="51" t="str">
        <f t="shared" si="3"/>
        <v/>
      </c>
      <c r="R28" s="37"/>
      <c r="S28" s="37"/>
      <c r="T28" s="37" t="str">
        <f>IF(COUNTIF(S2:S33,S28) &gt; 0, COUNTIF(S2:S33,S28), "")</f>
        <v/>
      </c>
      <c r="U28" s="49" t="str">
        <f t="shared" si="4"/>
        <v/>
      </c>
      <c r="V28" s="4"/>
      <c r="W28" s="4"/>
      <c r="X28" s="4" t="str">
        <f>IF(COUNTIF(W2:W33,W28) &gt; 0, COUNTIF(W2:W33,W28), "")</f>
        <v/>
      </c>
      <c r="Y28" s="51" t="str">
        <f t="shared" si="5"/>
        <v/>
      </c>
      <c r="Z28" s="37"/>
      <c r="AA28" s="37"/>
      <c r="AB28" s="37" t="str">
        <f>IF(COUNTIF(AA2:AA33,AA28) &gt; 0, COUNTIF(AA2:AA33,AA28), "")</f>
        <v/>
      </c>
      <c r="AC28" s="49" t="str">
        <f t="shared" si="6"/>
        <v/>
      </c>
      <c r="AD28" s="4"/>
      <c r="AE28" s="4"/>
      <c r="AF28" s="4" t="str">
        <f>IF(COUNTIF(AE2:AE33,AE28) &gt; 0, COUNTIF(AE2:AE33,AE28), "")</f>
        <v/>
      </c>
      <c r="AG28" s="51" t="str">
        <f t="shared" si="7"/>
        <v/>
      </c>
      <c r="AH28" s="37"/>
      <c r="AI28" s="37"/>
      <c r="AJ28" s="37" t="str">
        <f>IF(COUNTIF(AI2:AI33,AI28) &gt; 0, COUNTIF(AI2:AI33,AI28), "")</f>
        <v/>
      </c>
      <c r="AK28" s="49" t="str">
        <f t="shared" si="8"/>
        <v/>
      </c>
      <c r="AL28" s="4"/>
      <c r="AM28" s="4"/>
      <c r="AN28" s="4" t="str">
        <f>IF(COUNTIF(AM2:AM33,AM28) &gt; 0, COUNTIF(AM2:AM33,AM28), "")</f>
        <v/>
      </c>
      <c r="AO28" s="51" t="str">
        <f t="shared" si="9"/>
        <v/>
      </c>
      <c r="AP28" s="37"/>
      <c r="AQ28" s="37"/>
      <c r="AR28" s="37" t="str">
        <f>IF(COUNTIF(AQ2:AQ33,AQ28) &gt; 0, COUNTIF(AQ2:AQ33,AQ28), "")</f>
        <v/>
      </c>
      <c r="AS28" s="49" t="str">
        <f t="shared" si="10"/>
        <v/>
      </c>
      <c r="AT28" s="4"/>
      <c r="AU28" s="4"/>
      <c r="AV28" s="4" t="str">
        <f>IF(COUNTIF(AU2:AU33,AU28) &gt; 0, COUNTIF(AU2:AU33,AU28), "")</f>
        <v/>
      </c>
      <c r="AW28" s="51" t="str">
        <f t="shared" si="11"/>
        <v/>
      </c>
      <c r="AX28" s="37"/>
      <c r="AY28" s="37"/>
      <c r="AZ28" s="37" t="str">
        <f>IF(COUNTIF(AY2:AY33,AY28) &gt; 0, COUNTIF(AY2:AY33,AY28), "")</f>
        <v/>
      </c>
      <c r="BA28" s="49" t="str">
        <f t="shared" si="12"/>
        <v/>
      </c>
      <c r="BB28" s="4"/>
      <c r="BC28" s="4"/>
      <c r="BD28" s="4" t="str">
        <f>IF(COUNTIF(BC2:BC33,BC28) &gt; 0, COUNTIF(BC2:BC33,BC28), "")</f>
        <v/>
      </c>
      <c r="BE28" s="51" t="str">
        <f t="shared" si="13"/>
        <v/>
      </c>
      <c r="BF28" s="37"/>
      <c r="BG28" s="37"/>
      <c r="BH28" s="37" t="str">
        <f>IF(COUNTIF(BG2:BG33,BG28) &gt; 0, COUNTIF(BG2:BG33,BG28), "")</f>
        <v/>
      </c>
      <c r="BI28" s="49" t="str">
        <f t="shared" si="14"/>
        <v/>
      </c>
      <c r="BJ28" s="4"/>
      <c r="BK28" s="4"/>
      <c r="BL28" s="4" t="str">
        <f>IF(COUNTIF(BK2:BK33,BK28) &gt; 0, COUNTIF(BK2:BK33,BK28), "")</f>
        <v/>
      </c>
      <c r="BM28" s="51" t="str">
        <f t="shared" si="15"/>
        <v/>
      </c>
      <c r="BN28" s="37"/>
      <c r="BO28" s="37"/>
      <c r="BP28" s="37" t="str">
        <f>IF(COUNTIF(BO2:BO33,BO28) &gt; 0, COUNTIF(BO2:BO33,BO28), "")</f>
        <v/>
      </c>
      <c r="BQ28" s="49" t="str">
        <f t="shared" si="16"/>
        <v/>
      </c>
      <c r="BR28" s="4"/>
      <c r="BS28" s="4"/>
      <c r="BT28" s="4" t="str">
        <f>IF(COUNTIF(BS2:BS33,BS28) &gt; 0, COUNTIF(BS2:BS33,BS28), "")</f>
        <v/>
      </c>
      <c r="BU28" s="51" t="str">
        <f t="shared" si="17"/>
        <v/>
      </c>
      <c r="BV28" s="37"/>
      <c r="BW28" s="37"/>
      <c r="BX28" s="37" t="str">
        <f>IF(COUNTIF(BW2:BW33,BW28) &gt; 0, COUNTIF(BW2:BW33,BW28), "")</f>
        <v/>
      </c>
      <c r="BY28" s="49" t="str">
        <f t="shared" si="18"/>
        <v/>
      </c>
      <c r="BZ28" s="4"/>
      <c r="CA28" s="4"/>
      <c r="CB28" s="4" t="str">
        <f>IF(COUNTIF(CA2:CA33,CA28) &gt; 0, COUNTIF(CA2:CA33,CA28), "")</f>
        <v/>
      </c>
      <c r="CC28" s="51" t="str">
        <f t="shared" si="19"/>
        <v/>
      </c>
      <c r="CD28" s="6" t="str">
        <f t="shared" si="20"/>
        <v/>
      </c>
      <c r="CE28" s="46">
        <f>32-(COUNTIF(A2:A33,""))</f>
        <v>0</v>
      </c>
    </row>
    <row r="29" spans="1:83" x14ac:dyDescent="0.25">
      <c r="A29" s="2" t="str">
        <f>IF('Score joueurs'!A29="","", 'Score joueurs'!A29)</f>
        <v/>
      </c>
      <c r="B29" s="37"/>
      <c r="C29" s="37"/>
      <c r="D29" s="37" t="str">
        <f>IF(COUNTIF(C2:C33,C29) &gt; 0, COUNTIF(C2:C33,C29), "")</f>
        <v/>
      </c>
      <c r="E29" s="49" t="str">
        <f t="shared" si="0"/>
        <v/>
      </c>
      <c r="F29" s="1"/>
      <c r="G29" s="1"/>
      <c r="H29" s="4" t="str">
        <f>IF(COUNTIF(G2:G33,G29) &gt; 0, COUNTIF(G2:G33,G29), "")</f>
        <v/>
      </c>
      <c r="I29" s="51" t="str">
        <f t="shared" si="1"/>
        <v/>
      </c>
      <c r="J29" s="38"/>
      <c r="K29" s="38"/>
      <c r="L29" s="37" t="str">
        <f>IF(COUNTIF(K2:K33,K29) &gt; 0, COUNTIF(K2:K33,K29), "")</f>
        <v/>
      </c>
      <c r="M29" s="49" t="str">
        <f t="shared" si="2"/>
        <v/>
      </c>
      <c r="N29" s="1"/>
      <c r="O29" s="1"/>
      <c r="P29" s="4" t="str">
        <f>IF(COUNTIF(O2:O33,O29) &gt; 0, COUNTIF(O2:O33,O29), "")</f>
        <v/>
      </c>
      <c r="Q29" s="51" t="str">
        <f t="shared" si="3"/>
        <v/>
      </c>
      <c r="R29" s="38"/>
      <c r="S29" s="38"/>
      <c r="T29" s="37" t="str">
        <f>IF(COUNTIF(S2:S33,S29) &gt; 0, COUNTIF(S2:S33,S29), "")</f>
        <v/>
      </c>
      <c r="U29" s="49" t="str">
        <f t="shared" si="4"/>
        <v/>
      </c>
      <c r="V29" s="1"/>
      <c r="W29" s="1"/>
      <c r="X29" s="4" t="str">
        <f>IF(COUNTIF(W2:W33,W29) &gt; 0, COUNTIF(W2:W33,W29), "")</f>
        <v/>
      </c>
      <c r="Y29" s="51" t="str">
        <f t="shared" si="5"/>
        <v/>
      </c>
      <c r="Z29" s="38"/>
      <c r="AA29" s="38"/>
      <c r="AB29" s="37" t="str">
        <f>IF(COUNTIF(AA2:AA33,AA29) &gt; 0, COUNTIF(AA2:AA33,AA29), "")</f>
        <v/>
      </c>
      <c r="AC29" s="49" t="str">
        <f t="shared" si="6"/>
        <v/>
      </c>
      <c r="AD29" s="1"/>
      <c r="AE29" s="1"/>
      <c r="AF29" s="4" t="str">
        <f>IF(COUNTIF(AE2:AE33,AE29) &gt; 0, COUNTIF(AE2:AE33,AE29), "")</f>
        <v/>
      </c>
      <c r="AG29" s="51" t="str">
        <f t="shared" si="7"/>
        <v/>
      </c>
      <c r="AH29" s="38"/>
      <c r="AI29" s="38"/>
      <c r="AJ29" s="37" t="str">
        <f>IF(COUNTIF(AI2:AI33,AI29) &gt; 0, COUNTIF(AI2:AI33,AI29), "")</f>
        <v/>
      </c>
      <c r="AK29" s="49" t="str">
        <f t="shared" si="8"/>
        <v/>
      </c>
      <c r="AL29" s="1"/>
      <c r="AM29" s="1"/>
      <c r="AN29" s="4" t="str">
        <f>IF(COUNTIF(AM2:AM33,AM29) &gt; 0, COUNTIF(AM2:AM33,AM29), "")</f>
        <v/>
      </c>
      <c r="AO29" s="51" t="str">
        <f t="shared" si="9"/>
        <v/>
      </c>
      <c r="AP29" s="38"/>
      <c r="AQ29" s="38"/>
      <c r="AR29" s="37" t="str">
        <f>IF(COUNTIF(AQ2:AQ33,AQ29) &gt; 0, COUNTIF(AQ2:AQ33,AQ29), "")</f>
        <v/>
      </c>
      <c r="AS29" s="49" t="str">
        <f t="shared" si="10"/>
        <v/>
      </c>
      <c r="AT29" s="1"/>
      <c r="AU29" s="1"/>
      <c r="AV29" s="4" t="str">
        <f>IF(COUNTIF(AU2:AU33,AU29) &gt; 0, COUNTIF(AU2:AU33,AU29), "")</f>
        <v/>
      </c>
      <c r="AW29" s="51" t="str">
        <f t="shared" si="11"/>
        <v/>
      </c>
      <c r="AX29" s="38"/>
      <c r="AY29" s="38"/>
      <c r="AZ29" s="37" t="str">
        <f>IF(COUNTIF(AY2:AY33,AY29) &gt; 0, COUNTIF(AY2:AY33,AY29), "")</f>
        <v/>
      </c>
      <c r="BA29" s="49" t="str">
        <f t="shared" si="12"/>
        <v/>
      </c>
      <c r="BB29" s="1"/>
      <c r="BC29" s="1"/>
      <c r="BD29" s="4" t="str">
        <f>IF(COUNTIF(BC2:BC33,BC29) &gt; 0, COUNTIF(BC2:BC33,BC29), "")</f>
        <v/>
      </c>
      <c r="BE29" s="51" t="str">
        <f t="shared" si="13"/>
        <v/>
      </c>
      <c r="BF29" s="38"/>
      <c r="BG29" s="38"/>
      <c r="BH29" s="37" t="str">
        <f>IF(COUNTIF(BG2:BG33,BG29) &gt; 0, COUNTIF(BG2:BG33,BG29), "")</f>
        <v/>
      </c>
      <c r="BI29" s="49" t="str">
        <f t="shared" si="14"/>
        <v/>
      </c>
      <c r="BJ29" s="1"/>
      <c r="BK29" s="1"/>
      <c r="BL29" s="4" t="str">
        <f>IF(COUNTIF(BK2:BK33,BK29) &gt; 0, COUNTIF(BK2:BK33,BK29), "")</f>
        <v/>
      </c>
      <c r="BM29" s="51" t="str">
        <f t="shared" si="15"/>
        <v/>
      </c>
      <c r="BN29" s="38"/>
      <c r="BO29" s="38"/>
      <c r="BP29" s="37" t="str">
        <f>IF(COUNTIF(BO2:BO33,BO29) &gt; 0, COUNTIF(BO2:BO33,BO29), "")</f>
        <v/>
      </c>
      <c r="BQ29" s="49" t="str">
        <f t="shared" si="16"/>
        <v/>
      </c>
      <c r="BR29" s="1"/>
      <c r="BS29" s="1"/>
      <c r="BT29" s="4" t="str">
        <f>IF(COUNTIF(BS2:BS33,BS29) &gt; 0, COUNTIF(BS2:BS33,BS29), "")</f>
        <v/>
      </c>
      <c r="BU29" s="51" t="str">
        <f t="shared" si="17"/>
        <v/>
      </c>
      <c r="BV29" s="38"/>
      <c r="BW29" s="38"/>
      <c r="BX29" s="37" t="str">
        <f>IF(COUNTIF(BW2:BW33,BW29) &gt; 0, COUNTIF(BW2:BW33,BW29), "")</f>
        <v/>
      </c>
      <c r="BY29" s="49" t="str">
        <f t="shared" si="18"/>
        <v/>
      </c>
      <c r="BZ29" s="1"/>
      <c r="CA29" s="1"/>
      <c r="CB29" s="4" t="str">
        <f>IF(COUNTIF(CA2:CA33,CA29) &gt; 0, COUNTIF(CA2:CA33,CA29), "")</f>
        <v/>
      </c>
      <c r="CC29" s="51" t="str">
        <f t="shared" si="19"/>
        <v/>
      </c>
      <c r="CD29" s="6" t="str">
        <f t="shared" si="20"/>
        <v/>
      </c>
      <c r="CE29" s="46">
        <f>32-(COUNTIF(A2:A33,""))</f>
        <v>0</v>
      </c>
    </row>
    <row r="30" spans="1:83" x14ac:dyDescent="0.25">
      <c r="A30" s="2" t="str">
        <f>IF('Score joueurs'!A30="","", 'Score joueurs'!A30)</f>
        <v/>
      </c>
      <c r="B30" s="38"/>
      <c r="C30" s="38"/>
      <c r="D30" s="37" t="str">
        <f>IF(COUNTIF(C2:C33,C30) &gt; 0, COUNTIF(C2:C33,C30), "")</f>
        <v/>
      </c>
      <c r="E30" s="49" t="str">
        <f t="shared" si="0"/>
        <v/>
      </c>
      <c r="F30" s="4"/>
      <c r="G30" s="4"/>
      <c r="H30" s="4" t="str">
        <f>IF(COUNTIF(G2:G33,G30) &gt; 0, COUNTIF(G2:G33,G30), "")</f>
        <v/>
      </c>
      <c r="I30" s="51" t="str">
        <f t="shared" si="1"/>
        <v/>
      </c>
      <c r="J30" s="37"/>
      <c r="K30" s="37"/>
      <c r="L30" s="37" t="str">
        <f>IF(COUNTIF(K2:K33,K30) &gt; 0, COUNTIF(K2:K33,K30), "")</f>
        <v/>
      </c>
      <c r="M30" s="49" t="str">
        <f t="shared" si="2"/>
        <v/>
      </c>
      <c r="N30" s="4"/>
      <c r="O30" s="4"/>
      <c r="P30" s="4" t="str">
        <f>IF(COUNTIF(O2:O33,O30) &gt; 0, COUNTIF(O2:O33,O30), "")</f>
        <v/>
      </c>
      <c r="Q30" s="51" t="str">
        <f t="shared" si="3"/>
        <v/>
      </c>
      <c r="R30" s="37"/>
      <c r="S30" s="37"/>
      <c r="T30" s="37" t="str">
        <f>IF(COUNTIF(S2:S33,S30) &gt; 0, COUNTIF(S2:S33,S30), "")</f>
        <v/>
      </c>
      <c r="U30" s="49" t="str">
        <f t="shared" si="4"/>
        <v/>
      </c>
      <c r="V30" s="4"/>
      <c r="W30" s="4"/>
      <c r="X30" s="4" t="str">
        <f>IF(COUNTIF(W2:W33,W30) &gt; 0, COUNTIF(W2:W33,W30), "")</f>
        <v/>
      </c>
      <c r="Y30" s="51" t="str">
        <f t="shared" si="5"/>
        <v/>
      </c>
      <c r="Z30" s="37"/>
      <c r="AA30" s="37"/>
      <c r="AB30" s="37" t="str">
        <f>IF(COUNTIF(AA2:AA33,AA30) &gt; 0, COUNTIF(AA2:AA33,AA30), "")</f>
        <v/>
      </c>
      <c r="AC30" s="49" t="str">
        <f t="shared" si="6"/>
        <v/>
      </c>
      <c r="AD30" s="4"/>
      <c r="AE30" s="4"/>
      <c r="AF30" s="4" t="str">
        <f>IF(COUNTIF(AE2:AE33,AE30) &gt; 0, COUNTIF(AE2:AE33,AE30), "")</f>
        <v/>
      </c>
      <c r="AG30" s="51" t="str">
        <f t="shared" si="7"/>
        <v/>
      </c>
      <c r="AH30" s="37"/>
      <c r="AI30" s="37"/>
      <c r="AJ30" s="37" t="str">
        <f>IF(COUNTIF(AI2:AI33,AI30) &gt; 0, COUNTIF(AI2:AI33,AI30), "")</f>
        <v/>
      </c>
      <c r="AK30" s="49" t="str">
        <f t="shared" si="8"/>
        <v/>
      </c>
      <c r="AL30" s="4"/>
      <c r="AM30" s="4"/>
      <c r="AN30" s="4" t="str">
        <f>IF(COUNTIF(AM2:AM33,AM30) &gt; 0, COUNTIF(AM2:AM33,AM30), "")</f>
        <v/>
      </c>
      <c r="AO30" s="51" t="str">
        <f t="shared" si="9"/>
        <v/>
      </c>
      <c r="AP30" s="37"/>
      <c r="AQ30" s="37"/>
      <c r="AR30" s="37" t="str">
        <f>IF(COUNTIF(AQ2:AQ33,AQ30) &gt; 0, COUNTIF(AQ2:AQ33,AQ30), "")</f>
        <v/>
      </c>
      <c r="AS30" s="49" t="str">
        <f t="shared" si="10"/>
        <v/>
      </c>
      <c r="AT30" s="4"/>
      <c r="AU30" s="4"/>
      <c r="AV30" s="4" t="str">
        <f>IF(COUNTIF(AU2:AU33,AU30) &gt; 0, COUNTIF(AU2:AU33,AU30), "")</f>
        <v/>
      </c>
      <c r="AW30" s="51" t="str">
        <f t="shared" si="11"/>
        <v/>
      </c>
      <c r="AX30" s="37"/>
      <c r="AY30" s="37"/>
      <c r="AZ30" s="37" t="str">
        <f>IF(COUNTIF(AY2:AY33,AY30) &gt; 0, COUNTIF(AY2:AY33,AY30), "")</f>
        <v/>
      </c>
      <c r="BA30" s="49" t="str">
        <f t="shared" si="12"/>
        <v/>
      </c>
      <c r="BB30" s="4"/>
      <c r="BC30" s="4"/>
      <c r="BD30" s="4" t="str">
        <f>IF(COUNTIF(BC2:BC33,BC30) &gt; 0, COUNTIF(BC2:BC33,BC30), "")</f>
        <v/>
      </c>
      <c r="BE30" s="51" t="str">
        <f t="shared" si="13"/>
        <v/>
      </c>
      <c r="BF30" s="37"/>
      <c r="BG30" s="37"/>
      <c r="BH30" s="37" t="str">
        <f>IF(COUNTIF(BG2:BG33,BG30) &gt; 0, COUNTIF(BG2:BG33,BG30), "")</f>
        <v/>
      </c>
      <c r="BI30" s="49" t="str">
        <f t="shared" si="14"/>
        <v/>
      </c>
      <c r="BJ30" s="4"/>
      <c r="BK30" s="4"/>
      <c r="BL30" s="4" t="str">
        <f>IF(COUNTIF(BK2:BK33,BK30) &gt; 0, COUNTIF(BK2:BK33,BK30), "")</f>
        <v/>
      </c>
      <c r="BM30" s="51" t="str">
        <f t="shared" si="15"/>
        <v/>
      </c>
      <c r="BN30" s="37"/>
      <c r="BO30" s="37"/>
      <c r="BP30" s="37" t="str">
        <f>IF(COUNTIF(BO2:BO33,BO30) &gt; 0, COUNTIF(BO2:BO33,BO30), "")</f>
        <v/>
      </c>
      <c r="BQ30" s="49" t="str">
        <f t="shared" si="16"/>
        <v/>
      </c>
      <c r="BR30" s="4"/>
      <c r="BS30" s="4"/>
      <c r="BT30" s="4" t="str">
        <f>IF(COUNTIF(BS2:BS33,BS30) &gt; 0, COUNTIF(BS2:BS33,BS30), "")</f>
        <v/>
      </c>
      <c r="BU30" s="51" t="str">
        <f t="shared" si="17"/>
        <v/>
      </c>
      <c r="BV30" s="37"/>
      <c r="BW30" s="37"/>
      <c r="BX30" s="37" t="str">
        <f>IF(COUNTIF(BW2:BW33,BW30) &gt; 0, COUNTIF(BW2:BW33,BW30), "")</f>
        <v/>
      </c>
      <c r="BY30" s="49" t="str">
        <f t="shared" si="18"/>
        <v/>
      </c>
      <c r="BZ30" s="4"/>
      <c r="CA30" s="4"/>
      <c r="CB30" s="4" t="str">
        <f>IF(COUNTIF(CA2:CA33,CA30) &gt; 0, COUNTIF(CA2:CA33,CA30), "")</f>
        <v/>
      </c>
      <c r="CC30" s="51" t="str">
        <f t="shared" si="19"/>
        <v/>
      </c>
      <c r="CD30" s="6" t="str">
        <f t="shared" si="20"/>
        <v/>
      </c>
      <c r="CE30" s="46">
        <f>32-(COUNTIF(A2:A33,""))</f>
        <v>0</v>
      </c>
    </row>
    <row r="31" spans="1:83" x14ac:dyDescent="0.25">
      <c r="A31" s="2" t="str">
        <f>IF('Score joueurs'!A31="","", 'Score joueurs'!A31)</f>
        <v/>
      </c>
      <c r="B31" s="37"/>
      <c r="C31" s="37"/>
      <c r="D31" s="37" t="str">
        <f>IF(COUNTIF(C2:C33,C31) &gt; 0, COUNTIF(C2:C33,C31), "")</f>
        <v/>
      </c>
      <c r="E31" s="49" t="str">
        <f t="shared" si="0"/>
        <v/>
      </c>
      <c r="F31" s="1"/>
      <c r="G31" s="1"/>
      <c r="H31" s="4" t="str">
        <f>IF(COUNTIF(G2:G33,G31) &gt; 0, COUNTIF(G2:G33,G31), "")</f>
        <v/>
      </c>
      <c r="I31" s="51" t="str">
        <f t="shared" si="1"/>
        <v/>
      </c>
      <c r="J31" s="38"/>
      <c r="K31" s="38"/>
      <c r="L31" s="37" t="str">
        <f>IF(COUNTIF(K2:K33,K31) &gt; 0, COUNTIF(K2:K33,K31), "")</f>
        <v/>
      </c>
      <c r="M31" s="49" t="str">
        <f t="shared" si="2"/>
        <v/>
      </c>
      <c r="N31" s="1"/>
      <c r="O31" s="1"/>
      <c r="P31" s="4" t="str">
        <f>IF(COUNTIF(O2:O33,O31) &gt; 0, COUNTIF(O2:O33,O31), "")</f>
        <v/>
      </c>
      <c r="Q31" s="51" t="str">
        <f t="shared" si="3"/>
        <v/>
      </c>
      <c r="R31" s="38"/>
      <c r="S31" s="38"/>
      <c r="T31" s="37" t="str">
        <f>IF(COUNTIF(S2:S33,S31) &gt; 0, COUNTIF(S2:S33,S31), "")</f>
        <v/>
      </c>
      <c r="U31" s="49" t="str">
        <f t="shared" si="4"/>
        <v/>
      </c>
      <c r="V31" s="1"/>
      <c r="W31" s="1"/>
      <c r="X31" s="4" t="str">
        <f>IF(COUNTIF(W2:W33,W31) &gt; 0, COUNTIF(W2:W33,W31), "")</f>
        <v/>
      </c>
      <c r="Y31" s="51" t="str">
        <f t="shared" si="5"/>
        <v/>
      </c>
      <c r="Z31" s="38"/>
      <c r="AA31" s="38"/>
      <c r="AB31" s="37" t="str">
        <f>IF(COUNTIF(AA2:AA33,AA31) &gt; 0, COUNTIF(AA2:AA33,AA31), "")</f>
        <v/>
      </c>
      <c r="AC31" s="49" t="str">
        <f t="shared" si="6"/>
        <v/>
      </c>
      <c r="AD31" s="1"/>
      <c r="AE31" s="1"/>
      <c r="AF31" s="4" t="str">
        <f>IF(COUNTIF(AE2:AE33,AE31) &gt; 0, COUNTIF(AE2:AE33,AE31), "")</f>
        <v/>
      </c>
      <c r="AG31" s="51" t="str">
        <f t="shared" si="7"/>
        <v/>
      </c>
      <c r="AH31" s="38"/>
      <c r="AI31" s="38"/>
      <c r="AJ31" s="37" t="str">
        <f>IF(COUNTIF(AI2:AI33,AI31) &gt; 0, COUNTIF(AI2:AI33,AI31), "")</f>
        <v/>
      </c>
      <c r="AK31" s="49" t="str">
        <f t="shared" si="8"/>
        <v/>
      </c>
      <c r="AL31" s="1"/>
      <c r="AM31" s="1"/>
      <c r="AN31" s="4" t="str">
        <f>IF(COUNTIF(AM2:AM33,AM31) &gt; 0, COUNTIF(AM2:AM33,AM31), "")</f>
        <v/>
      </c>
      <c r="AO31" s="51" t="str">
        <f t="shared" si="9"/>
        <v/>
      </c>
      <c r="AP31" s="38"/>
      <c r="AQ31" s="38"/>
      <c r="AR31" s="37" t="str">
        <f>IF(COUNTIF(AQ2:AQ33,AQ31) &gt; 0, COUNTIF(AQ2:AQ33,AQ31), "")</f>
        <v/>
      </c>
      <c r="AS31" s="49" t="str">
        <f t="shared" si="10"/>
        <v/>
      </c>
      <c r="AT31" s="1"/>
      <c r="AU31" s="1"/>
      <c r="AV31" s="4" t="str">
        <f>IF(COUNTIF(AU2:AU33,AU31) &gt; 0, COUNTIF(AU2:AU33,AU31), "")</f>
        <v/>
      </c>
      <c r="AW31" s="51" t="str">
        <f t="shared" si="11"/>
        <v/>
      </c>
      <c r="AX31" s="38"/>
      <c r="AY31" s="38"/>
      <c r="AZ31" s="37" t="str">
        <f>IF(COUNTIF(AY2:AY33,AY31) &gt; 0, COUNTIF(AY2:AY33,AY31), "")</f>
        <v/>
      </c>
      <c r="BA31" s="49" t="str">
        <f t="shared" si="12"/>
        <v/>
      </c>
      <c r="BB31" s="1"/>
      <c r="BC31" s="1"/>
      <c r="BD31" s="4" t="str">
        <f>IF(COUNTIF(BC2:BC33,BC31) &gt; 0, COUNTIF(BC2:BC33,BC31), "")</f>
        <v/>
      </c>
      <c r="BE31" s="51" t="str">
        <f t="shared" si="13"/>
        <v/>
      </c>
      <c r="BF31" s="38"/>
      <c r="BG31" s="38"/>
      <c r="BH31" s="37" t="str">
        <f>IF(COUNTIF(BG2:BG33,BG31) &gt; 0, COUNTIF(BG2:BG33,BG31), "")</f>
        <v/>
      </c>
      <c r="BI31" s="49" t="str">
        <f t="shared" si="14"/>
        <v/>
      </c>
      <c r="BJ31" s="1"/>
      <c r="BK31" s="1"/>
      <c r="BL31" s="4" t="str">
        <f>IF(COUNTIF(BK2:BK33,BK31) &gt; 0, COUNTIF(BK2:BK33,BK31), "")</f>
        <v/>
      </c>
      <c r="BM31" s="51" t="str">
        <f t="shared" si="15"/>
        <v/>
      </c>
      <c r="BN31" s="38"/>
      <c r="BO31" s="38"/>
      <c r="BP31" s="37" t="str">
        <f>IF(COUNTIF(BO2:BO33,BO31) &gt; 0, COUNTIF(BO2:BO33,BO31), "")</f>
        <v/>
      </c>
      <c r="BQ31" s="49" t="str">
        <f t="shared" si="16"/>
        <v/>
      </c>
      <c r="BR31" s="1"/>
      <c r="BS31" s="1"/>
      <c r="BT31" s="4" t="str">
        <f>IF(COUNTIF(BS2:BS33,BS31) &gt; 0, COUNTIF(BS2:BS33,BS31), "")</f>
        <v/>
      </c>
      <c r="BU31" s="51" t="str">
        <f t="shared" si="17"/>
        <v/>
      </c>
      <c r="BV31" s="38"/>
      <c r="BW31" s="38"/>
      <c r="BX31" s="37" t="str">
        <f>IF(COUNTIF(BW2:BW33,BW31) &gt; 0, COUNTIF(BW2:BW33,BW31), "")</f>
        <v/>
      </c>
      <c r="BY31" s="49" t="str">
        <f t="shared" si="18"/>
        <v/>
      </c>
      <c r="BZ31" s="1"/>
      <c r="CA31" s="1"/>
      <c r="CB31" s="4" t="str">
        <f>IF(COUNTIF(CA2:CA33,CA31) &gt; 0, COUNTIF(CA2:CA33,CA31), "")</f>
        <v/>
      </c>
      <c r="CC31" s="51" t="str">
        <f t="shared" si="19"/>
        <v/>
      </c>
      <c r="CD31" s="6" t="str">
        <f t="shared" si="20"/>
        <v/>
      </c>
      <c r="CE31" s="46">
        <f>32-(COUNTIF(A2:A33,""))</f>
        <v>0</v>
      </c>
    </row>
    <row r="32" spans="1:83" x14ac:dyDescent="0.25">
      <c r="A32" s="2" t="str">
        <f>IF('Score joueurs'!A32="","", 'Score joueurs'!A32)</f>
        <v/>
      </c>
      <c r="B32" s="38"/>
      <c r="C32" s="38"/>
      <c r="D32" s="37" t="str">
        <f>IF(COUNTIF(C2:C33,C32) &gt; 0, COUNTIF(C2:C33,C32), "")</f>
        <v/>
      </c>
      <c r="E32" s="49" t="str">
        <f t="shared" si="0"/>
        <v/>
      </c>
      <c r="F32" s="4"/>
      <c r="G32" s="4"/>
      <c r="H32" s="4" t="str">
        <f>IF(COUNTIF(G2:G33,G32) &gt; 0, COUNTIF(G2:G33,G32), "")</f>
        <v/>
      </c>
      <c r="I32" s="51" t="str">
        <f t="shared" si="1"/>
        <v/>
      </c>
      <c r="J32" s="37"/>
      <c r="K32" s="37"/>
      <c r="L32" s="37" t="str">
        <f>IF(COUNTIF(K2:K33,K32) &gt; 0, COUNTIF(K2:K33,K32), "")</f>
        <v/>
      </c>
      <c r="M32" s="49" t="str">
        <f t="shared" si="2"/>
        <v/>
      </c>
      <c r="N32" s="4"/>
      <c r="O32" s="4"/>
      <c r="P32" s="4" t="str">
        <f>IF(COUNTIF(O2:O33,O32) &gt; 0, COUNTIF(O2:O33,O32), "")</f>
        <v/>
      </c>
      <c r="Q32" s="51" t="str">
        <f t="shared" si="3"/>
        <v/>
      </c>
      <c r="R32" s="37"/>
      <c r="S32" s="37"/>
      <c r="T32" s="37" t="str">
        <f>IF(COUNTIF(S2:S33,S32) &gt; 0, COUNTIF(S2:S33,S32), "")</f>
        <v/>
      </c>
      <c r="U32" s="49" t="str">
        <f t="shared" si="4"/>
        <v/>
      </c>
      <c r="V32" s="4"/>
      <c r="W32" s="4"/>
      <c r="X32" s="4" t="str">
        <f>IF(COUNTIF(W2:W33,W32) &gt; 0, COUNTIF(W2:W33,W32), "")</f>
        <v/>
      </c>
      <c r="Y32" s="51" t="str">
        <f t="shared" si="5"/>
        <v/>
      </c>
      <c r="Z32" s="37"/>
      <c r="AA32" s="37"/>
      <c r="AB32" s="37" t="str">
        <f>IF(COUNTIF(AA2:AA33,AA32) &gt; 0, COUNTIF(AA2:AA33,AA32), "")</f>
        <v/>
      </c>
      <c r="AC32" s="49" t="str">
        <f t="shared" si="6"/>
        <v/>
      </c>
      <c r="AD32" s="4"/>
      <c r="AE32" s="4"/>
      <c r="AF32" s="4" t="str">
        <f>IF(COUNTIF(AE2:AE33,AE32) &gt; 0, COUNTIF(AE2:AE33,AE32), "")</f>
        <v/>
      </c>
      <c r="AG32" s="51" t="str">
        <f t="shared" si="7"/>
        <v/>
      </c>
      <c r="AH32" s="37"/>
      <c r="AI32" s="37"/>
      <c r="AJ32" s="37" t="str">
        <f>IF(COUNTIF(AI2:AI33,AI32) &gt; 0, COUNTIF(AI2:AI33,AI32), "")</f>
        <v/>
      </c>
      <c r="AK32" s="49" t="str">
        <f t="shared" si="8"/>
        <v/>
      </c>
      <c r="AL32" s="4"/>
      <c r="AM32" s="4"/>
      <c r="AN32" s="4" t="str">
        <f>IF(COUNTIF(AM2:AM33,AM32) &gt; 0, COUNTIF(AM2:AM33,AM32), "")</f>
        <v/>
      </c>
      <c r="AO32" s="51" t="str">
        <f t="shared" si="9"/>
        <v/>
      </c>
      <c r="AP32" s="37"/>
      <c r="AQ32" s="37"/>
      <c r="AR32" s="37" t="str">
        <f>IF(COUNTIF(AQ2:AQ33,AQ32) &gt; 0, COUNTIF(AQ2:AQ33,AQ32), "")</f>
        <v/>
      </c>
      <c r="AS32" s="49" t="str">
        <f t="shared" si="10"/>
        <v/>
      </c>
      <c r="AT32" s="4"/>
      <c r="AU32" s="4"/>
      <c r="AV32" s="4" t="str">
        <f>IF(COUNTIF(AU2:AU33,AU32) &gt; 0, COUNTIF(AU2:AU33,AU32), "")</f>
        <v/>
      </c>
      <c r="AW32" s="51" t="str">
        <f t="shared" si="11"/>
        <v/>
      </c>
      <c r="AX32" s="37"/>
      <c r="AY32" s="37"/>
      <c r="AZ32" s="37" t="str">
        <f>IF(COUNTIF(AY2:AY33,AY32) &gt; 0, COUNTIF(AY2:AY33,AY32), "")</f>
        <v/>
      </c>
      <c r="BA32" s="49" t="str">
        <f t="shared" si="12"/>
        <v/>
      </c>
      <c r="BB32" s="4"/>
      <c r="BC32" s="4"/>
      <c r="BD32" s="4" t="str">
        <f>IF(COUNTIF(BC2:BC33,BC32) &gt; 0, COUNTIF(BC2:BC33,BC32), "")</f>
        <v/>
      </c>
      <c r="BE32" s="51" t="str">
        <f t="shared" si="13"/>
        <v/>
      </c>
      <c r="BF32" s="37"/>
      <c r="BG32" s="37"/>
      <c r="BH32" s="37" t="str">
        <f>IF(COUNTIF(BG2:BG33,BG32) &gt; 0, COUNTIF(BG2:BG33,BG32), "")</f>
        <v/>
      </c>
      <c r="BI32" s="49" t="str">
        <f t="shared" si="14"/>
        <v/>
      </c>
      <c r="BJ32" s="4"/>
      <c r="BK32" s="4"/>
      <c r="BL32" s="4" t="str">
        <f>IF(COUNTIF(BK2:BK33,BK32) &gt; 0, COUNTIF(BK2:BK33,BK32), "")</f>
        <v/>
      </c>
      <c r="BM32" s="51" t="str">
        <f t="shared" si="15"/>
        <v/>
      </c>
      <c r="BN32" s="37"/>
      <c r="BO32" s="37"/>
      <c r="BP32" s="37" t="str">
        <f>IF(COUNTIF(BO2:BO33,BO32) &gt; 0, COUNTIF(BO2:BO33,BO32), "")</f>
        <v/>
      </c>
      <c r="BQ32" s="49" t="str">
        <f t="shared" si="16"/>
        <v/>
      </c>
      <c r="BR32" s="4"/>
      <c r="BS32" s="4"/>
      <c r="BT32" s="4" t="str">
        <f>IF(COUNTIF(BS2:BS33,BS32) &gt; 0, COUNTIF(BS2:BS33,BS32), "")</f>
        <v/>
      </c>
      <c r="BU32" s="51" t="str">
        <f t="shared" si="17"/>
        <v/>
      </c>
      <c r="BV32" s="37"/>
      <c r="BW32" s="37"/>
      <c r="BX32" s="37" t="str">
        <f>IF(COUNTIF(BW2:BW33,BW32) &gt; 0, COUNTIF(BW2:BW33,BW32), "")</f>
        <v/>
      </c>
      <c r="BY32" s="49" t="str">
        <f t="shared" si="18"/>
        <v/>
      </c>
      <c r="BZ32" s="4"/>
      <c r="CA32" s="4"/>
      <c r="CB32" s="4" t="str">
        <f>IF(COUNTIF(CA2:CA33,CA32) &gt; 0, COUNTIF(CA2:CA33,CA32), "")</f>
        <v/>
      </c>
      <c r="CC32" s="51" t="str">
        <f t="shared" si="19"/>
        <v/>
      </c>
      <c r="CD32" s="6" t="str">
        <f t="shared" si="20"/>
        <v/>
      </c>
      <c r="CE32" s="46">
        <f>32-(COUNTIF(A2:A33,""))</f>
        <v>0</v>
      </c>
    </row>
    <row r="33" spans="1:83" ht="15.75" thickBot="1" x14ac:dyDescent="0.3">
      <c r="A33" s="44" t="str">
        <f>IF('Score joueurs'!A33="","", 'Score joueurs'!A33)</f>
        <v/>
      </c>
      <c r="B33" s="37"/>
      <c r="C33" s="37"/>
      <c r="D33" s="45" t="str">
        <f>IF(COUNTIF(C2:C33,C33)&gt;0,COUNTIF(C2:C33,C33),"")</f>
        <v/>
      </c>
      <c r="E33" s="50" t="str">
        <f t="shared" si="0"/>
        <v/>
      </c>
      <c r="F33" s="1"/>
      <c r="G33" s="1"/>
      <c r="H33" s="48" t="str">
        <f>IF(COUNTIF(G2:G33,G33)&gt;0,COUNTIF(G2:G33,G33),"")</f>
        <v/>
      </c>
      <c r="I33" s="51" t="str">
        <f t="shared" si="1"/>
        <v/>
      </c>
      <c r="J33" s="38"/>
      <c r="K33" s="38"/>
      <c r="L33" s="45" t="str">
        <f>IF(COUNTIF(K2:K33,K33)&gt;0,COUNTIF(K2:K33,K33),"")</f>
        <v/>
      </c>
      <c r="M33" s="49" t="str">
        <f t="shared" si="2"/>
        <v/>
      </c>
      <c r="N33" s="1"/>
      <c r="O33" s="1"/>
      <c r="P33" s="48" t="str">
        <f>IF(COUNTIF(O2:O33,O33)&gt;0,COUNTIF(O2:O33,O33),"")</f>
        <v/>
      </c>
      <c r="Q33" s="51" t="str">
        <f t="shared" si="3"/>
        <v/>
      </c>
      <c r="R33" s="38"/>
      <c r="S33" s="38"/>
      <c r="T33" s="45" t="str">
        <f>IF(COUNTIF(S2:S33,S33)&gt;0,COUNTIF(S2:S33,S33),"")</f>
        <v/>
      </c>
      <c r="U33" s="49" t="str">
        <f t="shared" si="4"/>
        <v/>
      </c>
      <c r="V33" s="1"/>
      <c r="W33" s="1"/>
      <c r="X33" s="48" t="str">
        <f>IF(COUNTIF(W2:W33,W33)&gt;0,COUNTIF(W2:W33,W33),"")</f>
        <v/>
      </c>
      <c r="Y33" s="51" t="str">
        <f t="shared" si="5"/>
        <v/>
      </c>
      <c r="Z33" s="38"/>
      <c r="AA33" s="38"/>
      <c r="AB33" s="45" t="str">
        <f>IF(COUNTIF(AA2:AA33,AA33)&gt;0,COUNTIF(AA2:AA33,AA33),"")</f>
        <v/>
      </c>
      <c r="AC33" s="49" t="str">
        <f t="shared" si="6"/>
        <v/>
      </c>
      <c r="AD33" s="1"/>
      <c r="AE33" s="1"/>
      <c r="AF33" s="48" t="str">
        <f>IF(COUNTIF(AE2:AE33,AE33)&gt;0,COUNTIF(AE2:AE33,AE33),"")</f>
        <v/>
      </c>
      <c r="AG33" s="52" t="str">
        <f t="shared" ref="AG33" si="21">IF(AE33 &lt;&gt; "",( 1-AD33+AF33)/AF33*DG33, "")</f>
        <v/>
      </c>
      <c r="AH33" s="38"/>
      <c r="AI33" s="38"/>
      <c r="AJ33" s="45" t="str">
        <f>IF(COUNTIF(AI2:AI33,AI33)&gt;0,COUNTIF(AI2:AI33,AI33),"")</f>
        <v/>
      </c>
      <c r="AK33" s="49" t="str">
        <f t="shared" si="8"/>
        <v/>
      </c>
      <c r="AL33" s="1"/>
      <c r="AM33" s="1"/>
      <c r="AN33" s="48" t="str">
        <f>IF(COUNTIF(AM2:AM33,AM33)&gt;0,COUNTIF(AM2:AM33,AM33),"")</f>
        <v/>
      </c>
      <c r="AO33" s="51" t="str">
        <f t="shared" si="9"/>
        <v/>
      </c>
      <c r="AP33" s="38"/>
      <c r="AQ33" s="38"/>
      <c r="AR33" s="45" t="str">
        <f>IF(COUNTIF(AQ2:AQ33,AQ33)&gt;0,COUNTIF(AQ2:AQ33,AQ33),"")</f>
        <v/>
      </c>
      <c r="AS33" s="49" t="str">
        <f t="shared" si="10"/>
        <v/>
      </c>
      <c r="AT33" s="1"/>
      <c r="AU33" s="1"/>
      <c r="AV33" s="48" t="str">
        <f>IF(COUNTIF(AU2:AU33,AU33)&gt;0,COUNTIF(AU2:AU33,AU33),"")</f>
        <v/>
      </c>
      <c r="AW33" s="51" t="str">
        <f t="shared" si="11"/>
        <v/>
      </c>
      <c r="AX33" s="38"/>
      <c r="AY33" s="38"/>
      <c r="AZ33" s="45" t="str">
        <f>IF(COUNTIF(AY2:AY33,AY33)&gt;0,COUNTIF(AY2:AY33,AY33),"")</f>
        <v/>
      </c>
      <c r="BA33" s="49" t="str">
        <f t="shared" si="12"/>
        <v/>
      </c>
      <c r="BB33" s="1"/>
      <c r="BC33" s="1"/>
      <c r="BD33" s="48" t="str">
        <f>IF(COUNTIF(BC2:BC33,BC33)&gt;0,COUNTIF(BC2:BC33,BC33),"")</f>
        <v/>
      </c>
      <c r="BE33" s="51" t="str">
        <f t="shared" si="13"/>
        <v/>
      </c>
      <c r="BF33" s="38"/>
      <c r="BG33" s="38"/>
      <c r="BH33" s="45" t="str">
        <f>IF(COUNTIF(BG2:BG33,BG33)&gt;0,COUNTIF(BG2:BG33,BG33),"")</f>
        <v/>
      </c>
      <c r="BI33" s="49" t="str">
        <f t="shared" si="14"/>
        <v/>
      </c>
      <c r="BJ33" s="1"/>
      <c r="BK33" s="1"/>
      <c r="BL33" s="48" t="str">
        <f>IF(COUNTIF(BK2:BK33,BK33)&gt;0,COUNTIF(BK2:BK33,BK33),"")</f>
        <v/>
      </c>
      <c r="BM33" s="51" t="str">
        <f t="shared" si="15"/>
        <v/>
      </c>
      <c r="BN33" s="38"/>
      <c r="BO33" s="38"/>
      <c r="BP33" s="45" t="str">
        <f>IF(COUNTIF(BO2:BO33,BO33)&gt;0,COUNTIF(BO2:BO33,BO33),"")</f>
        <v/>
      </c>
      <c r="BQ33" s="49" t="str">
        <f t="shared" si="16"/>
        <v/>
      </c>
      <c r="BR33" s="1"/>
      <c r="BS33" s="1"/>
      <c r="BT33" s="48" t="str">
        <f>IF(COUNTIF(BS2:BS33,BS33)&gt;0,COUNTIF(BS2:BS33,BS33),"")</f>
        <v/>
      </c>
      <c r="BU33" s="52" t="str">
        <f t="shared" si="17"/>
        <v/>
      </c>
      <c r="BV33" s="38"/>
      <c r="BW33" s="38"/>
      <c r="BX33" s="45" t="str">
        <f>IF(COUNTIF(BW2:BW33,BW33)&gt;0,COUNTIF(BW2:BW33,BW33),"")</f>
        <v/>
      </c>
      <c r="BY33" s="49" t="str">
        <f t="shared" si="18"/>
        <v/>
      </c>
      <c r="BZ33" s="1"/>
      <c r="CA33" s="1"/>
      <c r="CB33" s="48" t="str">
        <f>IF(COUNTIF(CA2:CA33,CA33)&gt;0,COUNTIF(CA2:CA33,CA33),"")</f>
        <v/>
      </c>
      <c r="CC33" s="51" t="str">
        <f>IF(CA33 &lt;&gt; "",( 1-BZ33+CB33)/CB33*CE33, "")</f>
        <v/>
      </c>
      <c r="CD33" s="162" t="str">
        <f t="shared" si="20"/>
        <v/>
      </c>
      <c r="CE33" s="47">
        <f>32-(COUNTIF(A2:A33,""))</f>
        <v>0</v>
      </c>
    </row>
    <row r="34" spans="1:83" ht="15.75" thickBot="1" x14ac:dyDescent="0.3">
      <c r="A34" s="5"/>
      <c r="B34" s="147" t="s">
        <v>2</v>
      </c>
      <c r="C34" s="148"/>
      <c r="D34" s="148"/>
      <c r="E34" s="149"/>
      <c r="F34" s="150" t="s">
        <v>3</v>
      </c>
      <c r="G34" s="151"/>
      <c r="H34" s="151"/>
      <c r="I34" s="152"/>
      <c r="J34" s="153" t="s">
        <v>4</v>
      </c>
      <c r="K34" s="154"/>
      <c r="L34" s="154"/>
      <c r="M34" s="155"/>
      <c r="N34" s="156" t="s">
        <v>5</v>
      </c>
      <c r="O34" s="157"/>
      <c r="P34" s="157"/>
      <c r="Q34" s="158"/>
      <c r="R34" s="159" t="s">
        <v>6</v>
      </c>
      <c r="S34" s="160"/>
      <c r="T34" s="160"/>
      <c r="U34" s="161"/>
      <c r="V34" s="124" t="s">
        <v>7</v>
      </c>
      <c r="W34" s="125"/>
      <c r="X34" s="125"/>
      <c r="Y34" s="126"/>
      <c r="Z34" s="127" t="s">
        <v>8</v>
      </c>
      <c r="AA34" s="128"/>
      <c r="AB34" s="128"/>
      <c r="AC34" s="129"/>
      <c r="AD34" s="130" t="s">
        <v>9</v>
      </c>
      <c r="AE34" s="131"/>
      <c r="AF34" s="131"/>
      <c r="AG34" s="132"/>
      <c r="AH34" s="133" t="s">
        <v>10</v>
      </c>
      <c r="AI34" s="134"/>
      <c r="AJ34" s="134"/>
      <c r="AK34" s="135"/>
      <c r="AL34" s="136" t="s">
        <v>11</v>
      </c>
      <c r="AM34" s="137"/>
      <c r="AN34" s="137"/>
      <c r="AO34" s="138"/>
      <c r="AP34" s="139" t="s">
        <v>12</v>
      </c>
      <c r="AQ34" s="140"/>
      <c r="AR34" s="140"/>
      <c r="AS34" s="141"/>
      <c r="AT34" s="144" t="s">
        <v>13</v>
      </c>
      <c r="AU34" s="145"/>
      <c r="AV34" s="145"/>
      <c r="AW34" s="146"/>
      <c r="AX34" s="115" t="s">
        <v>14</v>
      </c>
      <c r="AY34" s="116"/>
      <c r="AZ34" s="116"/>
      <c r="BA34" s="117"/>
      <c r="BB34" s="118" t="s">
        <v>15</v>
      </c>
      <c r="BC34" s="119"/>
      <c r="BD34" s="119"/>
      <c r="BE34" s="120"/>
      <c r="BF34" s="121" t="s">
        <v>16</v>
      </c>
      <c r="BG34" s="122"/>
      <c r="BH34" s="122"/>
      <c r="BI34" s="123"/>
      <c r="BJ34" s="112" t="s">
        <v>17</v>
      </c>
      <c r="BK34" s="113"/>
      <c r="BL34" s="113"/>
      <c r="BM34" s="114"/>
      <c r="BN34" s="109" t="s">
        <v>18</v>
      </c>
      <c r="BO34" s="110"/>
      <c r="BP34" s="110"/>
      <c r="BQ34" s="111"/>
      <c r="BR34" s="106" t="s">
        <v>19</v>
      </c>
      <c r="BS34" s="107"/>
      <c r="BT34" s="107"/>
      <c r="BU34" s="108"/>
      <c r="BV34" s="103" t="s">
        <v>20</v>
      </c>
      <c r="BW34" s="104"/>
      <c r="BX34" s="104"/>
      <c r="BY34" s="105"/>
      <c r="BZ34" s="100" t="s">
        <v>21</v>
      </c>
      <c r="CA34" s="101"/>
      <c r="CB34" s="101"/>
      <c r="CC34" s="102"/>
    </row>
    <row r="39" spans="1:83" x14ac:dyDescent="0.25">
      <c r="A39" t="s">
        <v>63</v>
      </c>
      <c r="B39" t="s">
        <v>64</v>
      </c>
      <c r="C39" s="143" t="s">
        <v>66</v>
      </c>
      <c r="D39" s="143"/>
      <c r="E39" s="143"/>
      <c r="F39" s="143"/>
      <c r="G39" s="143"/>
      <c r="H39" s="143"/>
      <c r="I39" s="143"/>
    </row>
    <row r="40" spans="1:83" x14ac:dyDescent="0.25">
      <c r="A40" t="s">
        <v>59</v>
      </c>
      <c r="B40" t="s">
        <v>64</v>
      </c>
      <c r="C40" s="143" t="s">
        <v>69</v>
      </c>
      <c r="D40" s="143"/>
      <c r="E40" s="143"/>
      <c r="F40" s="143"/>
      <c r="G40" s="143"/>
      <c r="H40" s="143"/>
      <c r="I40" s="143"/>
    </row>
    <row r="41" spans="1:83" x14ac:dyDescent="0.25">
      <c r="A41" t="s">
        <v>62</v>
      </c>
      <c r="B41" t="s">
        <v>64</v>
      </c>
      <c r="C41" s="142" t="s">
        <v>70</v>
      </c>
      <c r="D41" s="142"/>
      <c r="E41" s="142"/>
      <c r="F41" s="142"/>
      <c r="G41" s="142"/>
      <c r="H41" s="142"/>
      <c r="I41" s="142"/>
      <c r="J41" s="55" t="s">
        <v>67</v>
      </c>
      <c r="K41" s="55"/>
      <c r="L41" s="55"/>
      <c r="M41" s="55"/>
      <c r="N41" s="55"/>
      <c r="O41" s="55"/>
    </row>
    <row r="42" spans="1:83" x14ac:dyDescent="0.25">
      <c r="A42" t="s">
        <v>60</v>
      </c>
      <c r="B42" t="s">
        <v>64</v>
      </c>
      <c r="C42" s="143" t="s">
        <v>65</v>
      </c>
      <c r="D42" s="143"/>
      <c r="E42" s="143"/>
      <c r="F42" s="143"/>
      <c r="G42" s="143"/>
      <c r="H42" s="143"/>
      <c r="I42" s="143"/>
    </row>
  </sheetData>
  <mergeCells count="24">
    <mergeCell ref="C41:I41"/>
    <mergeCell ref="C42:I42"/>
    <mergeCell ref="C39:I39"/>
    <mergeCell ref="C40:I40"/>
    <mergeCell ref="AT34:AW34"/>
    <mergeCell ref="B34:E34"/>
    <mergeCell ref="F34:I34"/>
    <mergeCell ref="J34:M34"/>
    <mergeCell ref="N34:Q34"/>
    <mergeCell ref="R34:U34"/>
    <mergeCell ref="AX34:BA34"/>
    <mergeCell ref="BB34:BE34"/>
    <mergeCell ref="BF34:BI34"/>
    <mergeCell ref="V34:Y34"/>
    <mergeCell ref="Z34:AC34"/>
    <mergeCell ref="AD34:AG34"/>
    <mergeCell ref="AH34:AK34"/>
    <mergeCell ref="AL34:AO34"/>
    <mergeCell ref="AP34:AS34"/>
    <mergeCell ref="BZ34:CC34"/>
    <mergeCell ref="BV34:BY34"/>
    <mergeCell ref="BR34:BU34"/>
    <mergeCell ref="BN34:BQ34"/>
    <mergeCell ref="BJ34:BM3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34</xdr:row>
                <xdr:rowOff>9525</xdr:rowOff>
              </from>
              <to>
                <xdr:col>6</xdr:col>
                <xdr:colOff>285750</xdr:colOff>
                <xdr:row>37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F4AE0-B2E2-4805-9BFD-F2D03F400D09}">
  <sheetPr codeName="Feuil4">
    <tabColor theme="7" tint="0.59999389629810485"/>
  </sheetPr>
  <dimension ref="A1:AR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baseColWidth="10" defaultColWidth="8.85546875" defaultRowHeight="15" x14ac:dyDescent="0.25"/>
  <cols>
    <col min="1" max="1" width="17.7109375" customWidth="1"/>
    <col min="2" max="41" width="4.7109375" customWidth="1"/>
  </cols>
  <sheetData>
    <row r="1" spans="1:44" ht="15.75" thickBot="1" x14ac:dyDescent="0.3">
      <c r="A1" s="21" t="s">
        <v>0</v>
      </c>
      <c r="B1" s="13" t="s">
        <v>37</v>
      </c>
      <c r="C1" s="24" t="s">
        <v>38</v>
      </c>
      <c r="D1" s="13" t="s">
        <v>37</v>
      </c>
      <c r="E1" s="24" t="s">
        <v>38</v>
      </c>
      <c r="F1" s="13" t="s">
        <v>37</v>
      </c>
      <c r="G1" s="24" t="s">
        <v>38</v>
      </c>
      <c r="H1" s="13" t="s">
        <v>37</v>
      </c>
      <c r="I1" s="24" t="s">
        <v>38</v>
      </c>
      <c r="J1" s="13" t="s">
        <v>37</v>
      </c>
      <c r="K1" s="24" t="s">
        <v>38</v>
      </c>
      <c r="L1" s="13" t="s">
        <v>37</v>
      </c>
      <c r="M1" s="24" t="s">
        <v>38</v>
      </c>
      <c r="N1" s="13" t="s">
        <v>37</v>
      </c>
      <c r="O1" s="24" t="s">
        <v>38</v>
      </c>
      <c r="P1" s="13" t="s">
        <v>37</v>
      </c>
      <c r="Q1" s="24" t="s">
        <v>38</v>
      </c>
      <c r="R1" s="13" t="s">
        <v>37</v>
      </c>
      <c r="S1" s="24" t="s">
        <v>38</v>
      </c>
      <c r="T1" s="13" t="s">
        <v>37</v>
      </c>
      <c r="U1" s="24" t="s">
        <v>38</v>
      </c>
      <c r="V1" s="13" t="s">
        <v>37</v>
      </c>
      <c r="W1" s="24" t="s">
        <v>38</v>
      </c>
      <c r="X1" s="13" t="s">
        <v>37</v>
      </c>
      <c r="Y1" s="24" t="s">
        <v>38</v>
      </c>
      <c r="Z1" s="13" t="s">
        <v>37</v>
      </c>
      <c r="AA1" s="24" t="s">
        <v>38</v>
      </c>
      <c r="AB1" s="13" t="s">
        <v>37</v>
      </c>
      <c r="AC1" s="24" t="s">
        <v>38</v>
      </c>
      <c r="AD1" s="13" t="s">
        <v>37</v>
      </c>
      <c r="AE1" s="24" t="s">
        <v>38</v>
      </c>
      <c r="AF1" s="13" t="s">
        <v>37</v>
      </c>
      <c r="AG1" s="24" t="s">
        <v>38</v>
      </c>
      <c r="AH1" s="13" t="s">
        <v>37</v>
      </c>
      <c r="AI1" s="24" t="s">
        <v>38</v>
      </c>
      <c r="AJ1" s="13" t="s">
        <v>37</v>
      </c>
      <c r="AK1" s="24" t="s">
        <v>38</v>
      </c>
      <c r="AL1" s="13" t="s">
        <v>37</v>
      </c>
      <c r="AM1" s="24" t="s">
        <v>38</v>
      </c>
      <c r="AN1" s="13" t="s">
        <v>37</v>
      </c>
      <c r="AO1" s="24" t="s">
        <v>38</v>
      </c>
      <c r="AP1" s="9" t="s">
        <v>26</v>
      </c>
      <c r="AQ1" s="32" t="s">
        <v>27</v>
      </c>
      <c r="AR1" s="9" t="s">
        <v>34</v>
      </c>
    </row>
    <row r="2" spans="1:44" x14ac:dyDescent="0.25">
      <c r="A2" s="22" t="str">
        <f>IF('Score joueurs'!A2="","", 'Score joueurs'!A2)</f>
        <v/>
      </c>
      <c r="B2" s="25"/>
      <c r="C2" s="26"/>
      <c r="D2" s="25"/>
      <c r="E2" s="26"/>
      <c r="F2" s="25"/>
      <c r="G2" s="29"/>
      <c r="H2" s="25"/>
      <c r="I2" s="26"/>
      <c r="J2" s="25"/>
      <c r="K2" s="26"/>
      <c r="L2" s="25"/>
      <c r="M2" s="26"/>
      <c r="N2" s="25"/>
      <c r="O2" s="26"/>
      <c r="P2" s="25"/>
      <c r="Q2" s="29"/>
      <c r="R2" s="25"/>
      <c r="S2" s="26"/>
      <c r="T2" s="25"/>
      <c r="U2" s="26"/>
      <c r="V2" s="25"/>
      <c r="W2" s="26"/>
      <c r="X2" s="25"/>
      <c r="Y2" s="26"/>
      <c r="Z2" s="25"/>
      <c r="AA2" s="26"/>
      <c r="AB2" s="25"/>
      <c r="AC2" s="26"/>
      <c r="AD2" s="25"/>
      <c r="AE2" s="26"/>
      <c r="AF2" s="25"/>
      <c r="AG2" s="26"/>
      <c r="AH2" s="25"/>
      <c r="AI2" s="26"/>
      <c r="AJ2" s="25"/>
      <c r="AK2" s="26"/>
      <c r="AL2" s="25"/>
      <c r="AM2" s="26"/>
      <c r="AN2" s="25"/>
      <c r="AO2" s="26"/>
      <c r="AP2" s="11" t="str">
        <f>IF(B2&gt;0, B2-C2+D2-E2+F2-G2+H2-I2+J2-K2+L2-M2+N2-O2+P2-Q2+R2-S2+T2-U2+V2-W2+X2-Y2+Z2-AA2+AB2-AC2+AD2-AE2+AF2-AG2+AH2-AI2+AJ2-AK2+AL2-AM2+AN2-AO2, "")</f>
        <v/>
      </c>
      <c r="AQ2" s="31" t="str">
        <f>IFERROR(IF(AP2="", "", RANK(AP2,$AP$2:$AP$33)), "")</f>
        <v/>
      </c>
      <c r="AR2" s="35" t="str">
        <f>IF(AQ2 &lt;&gt; "", COUNTIF(AQ2:AQ33, "&gt;0") -AQ2 + 1, "")</f>
        <v/>
      </c>
    </row>
    <row r="3" spans="1:44" x14ac:dyDescent="0.25">
      <c r="A3" s="23" t="str">
        <f>IF('Score joueurs'!A3="","", 'Score joueurs'!A3)</f>
        <v/>
      </c>
      <c r="B3" s="27"/>
      <c r="C3" s="28"/>
      <c r="D3" s="27"/>
      <c r="E3" s="28"/>
      <c r="F3" s="27"/>
      <c r="G3" s="28"/>
      <c r="H3" s="27"/>
      <c r="I3" s="28"/>
      <c r="J3" s="27"/>
      <c r="K3" s="28"/>
      <c r="L3" s="27"/>
      <c r="M3" s="28"/>
      <c r="N3" s="27"/>
      <c r="O3" s="28"/>
      <c r="P3" s="27"/>
      <c r="Q3" s="28"/>
      <c r="R3" s="27"/>
      <c r="S3" s="28"/>
      <c r="T3" s="27"/>
      <c r="U3" s="28"/>
      <c r="V3" s="27"/>
      <c r="W3" s="28"/>
      <c r="X3" s="27"/>
      <c r="Y3" s="28"/>
      <c r="Z3" s="27"/>
      <c r="AA3" s="28"/>
      <c r="AB3" s="27"/>
      <c r="AC3" s="28"/>
      <c r="AD3" s="27"/>
      <c r="AE3" s="28"/>
      <c r="AF3" s="27"/>
      <c r="AG3" s="28"/>
      <c r="AH3" s="27"/>
      <c r="AI3" s="28"/>
      <c r="AJ3" s="27"/>
      <c r="AK3" s="28"/>
      <c r="AL3" s="27"/>
      <c r="AM3" s="28"/>
      <c r="AN3" s="27"/>
      <c r="AO3" s="28"/>
      <c r="AP3" s="11" t="str">
        <f t="shared" ref="AP3:AP31" si="0">IF(B3&gt;0, B3-C3+D3-E3+F3-G3+H3-I3+J3-K3+L3-M3+N3-O3+P3-Q3+R3-S3+T3-U3+V3-W3+X3-Y3+Z3-AA3+AB3-AC3+AD3-AE3+AF3-AG3+AH3-AI3+AJ3-AK3+AL3-AM3+AN3-AO3, "")</f>
        <v/>
      </c>
      <c r="AQ3" s="31" t="str">
        <f>IFERROR(IF(AP3="", "", RANK(AP3,$AP$2:$AP$33)), "")</f>
        <v/>
      </c>
      <c r="AR3" s="35" t="str">
        <f>IF(AQ3 &lt;&gt; "", COUNTIF(AQ2:AQ33, "&gt;0") -AQ3 + 1, "")</f>
        <v/>
      </c>
    </row>
    <row r="4" spans="1:44" x14ac:dyDescent="0.25">
      <c r="A4" s="23" t="str">
        <f>IF('Score joueurs'!A4="","", 'Score joueurs'!A4)</f>
        <v/>
      </c>
      <c r="B4" s="27"/>
      <c r="C4" s="28"/>
      <c r="D4" s="27"/>
      <c r="E4" s="28"/>
      <c r="F4" s="27"/>
      <c r="G4" s="28"/>
      <c r="H4" s="27"/>
      <c r="I4" s="28"/>
      <c r="J4" s="27"/>
      <c r="K4" s="28"/>
      <c r="L4" s="27"/>
      <c r="M4" s="28"/>
      <c r="N4" s="27"/>
      <c r="O4" s="28"/>
      <c r="P4" s="27"/>
      <c r="Q4" s="28"/>
      <c r="R4" s="27"/>
      <c r="S4" s="28"/>
      <c r="T4" s="27"/>
      <c r="U4" s="28"/>
      <c r="V4" s="27"/>
      <c r="W4" s="28"/>
      <c r="X4" s="27"/>
      <c r="Y4" s="28"/>
      <c r="Z4" s="27"/>
      <c r="AA4" s="28"/>
      <c r="AB4" s="27"/>
      <c r="AC4" s="28"/>
      <c r="AD4" s="27"/>
      <c r="AE4" s="28"/>
      <c r="AF4" s="27"/>
      <c r="AG4" s="28"/>
      <c r="AH4" s="27"/>
      <c r="AI4" s="28"/>
      <c r="AJ4" s="27"/>
      <c r="AK4" s="28"/>
      <c r="AL4" s="27"/>
      <c r="AM4" s="28"/>
      <c r="AN4" s="27"/>
      <c r="AO4" s="28"/>
      <c r="AP4" s="11" t="str">
        <f t="shared" si="0"/>
        <v/>
      </c>
      <c r="AQ4" s="31" t="str">
        <f t="shared" ref="AQ4:AQ33" si="1">IFERROR(IF(AP4="", "", RANK(AP4,$AP$2:$AP$33)), "")</f>
        <v/>
      </c>
      <c r="AR4" s="35" t="str">
        <f>IF(AQ4 &lt;&gt; "", COUNTIF(AQ2:AQ33, "&gt;0") -AQ4 +1, "")</f>
        <v/>
      </c>
    </row>
    <row r="5" spans="1:44" x14ac:dyDescent="0.25">
      <c r="A5" s="23" t="str">
        <f>IF('Score joueurs'!A5="","", 'Score joueurs'!A5)</f>
        <v/>
      </c>
      <c r="B5" s="27"/>
      <c r="C5" s="28"/>
      <c r="D5" s="27"/>
      <c r="E5" s="28"/>
      <c r="F5" s="27"/>
      <c r="G5" s="28"/>
      <c r="H5" s="27"/>
      <c r="I5" s="28"/>
      <c r="J5" s="27"/>
      <c r="K5" s="28"/>
      <c r="L5" s="27"/>
      <c r="M5" s="28"/>
      <c r="N5" s="27"/>
      <c r="O5" s="28"/>
      <c r="P5" s="27"/>
      <c r="Q5" s="28"/>
      <c r="R5" s="27"/>
      <c r="S5" s="28"/>
      <c r="T5" s="27"/>
      <c r="U5" s="28"/>
      <c r="V5" s="27"/>
      <c r="W5" s="28"/>
      <c r="X5" s="27"/>
      <c r="Y5" s="28"/>
      <c r="Z5" s="27"/>
      <c r="AA5" s="28"/>
      <c r="AB5" s="27"/>
      <c r="AC5" s="28"/>
      <c r="AD5" s="27"/>
      <c r="AE5" s="28"/>
      <c r="AF5" s="27"/>
      <c r="AG5" s="28"/>
      <c r="AH5" s="27"/>
      <c r="AI5" s="28"/>
      <c r="AJ5" s="27"/>
      <c r="AK5" s="28"/>
      <c r="AL5" s="27"/>
      <c r="AM5" s="28"/>
      <c r="AN5" s="27"/>
      <c r="AO5" s="28"/>
      <c r="AP5" s="11" t="str">
        <f t="shared" si="0"/>
        <v/>
      </c>
      <c r="AQ5" s="31" t="str">
        <f t="shared" si="1"/>
        <v/>
      </c>
      <c r="AR5" s="35" t="str">
        <f>IF(AQ5 &lt;&gt; "", COUNTIF(AQ2:AQ33, "&gt;0") -AQ5 +1, "")</f>
        <v/>
      </c>
    </row>
    <row r="6" spans="1:44" x14ac:dyDescent="0.25">
      <c r="A6" s="23" t="str">
        <f>IF('Score joueurs'!A6="","", 'Score joueurs'!A6)</f>
        <v/>
      </c>
      <c r="B6" s="27"/>
      <c r="C6" s="28"/>
      <c r="D6" s="27"/>
      <c r="E6" s="28"/>
      <c r="F6" s="27"/>
      <c r="G6" s="28"/>
      <c r="H6" s="27"/>
      <c r="I6" s="28"/>
      <c r="J6" s="27"/>
      <c r="K6" s="28"/>
      <c r="L6" s="27"/>
      <c r="M6" s="28"/>
      <c r="N6" s="27"/>
      <c r="O6" s="28"/>
      <c r="P6" s="27"/>
      <c r="Q6" s="28"/>
      <c r="R6" s="27"/>
      <c r="S6" s="28"/>
      <c r="T6" s="27"/>
      <c r="U6" s="28"/>
      <c r="V6" s="27"/>
      <c r="W6" s="28"/>
      <c r="X6" s="27"/>
      <c r="Y6" s="28"/>
      <c r="Z6" s="27"/>
      <c r="AA6" s="28"/>
      <c r="AB6" s="27"/>
      <c r="AC6" s="28"/>
      <c r="AD6" s="27"/>
      <c r="AE6" s="28"/>
      <c r="AF6" s="27"/>
      <c r="AG6" s="28"/>
      <c r="AH6" s="27"/>
      <c r="AI6" s="28"/>
      <c r="AJ6" s="27"/>
      <c r="AK6" s="28"/>
      <c r="AL6" s="27"/>
      <c r="AM6" s="28"/>
      <c r="AN6" s="27"/>
      <c r="AO6" s="28"/>
      <c r="AP6" s="11" t="str">
        <f t="shared" si="0"/>
        <v/>
      </c>
      <c r="AQ6" s="31" t="str">
        <f t="shared" si="1"/>
        <v/>
      </c>
      <c r="AR6" s="35" t="str">
        <f>IF(AQ6 &lt;&gt; "", COUNTIF(AQ2:AQ33, "&gt;0") -AQ6 +1, "")</f>
        <v/>
      </c>
    </row>
    <row r="7" spans="1:44" x14ac:dyDescent="0.25">
      <c r="A7" s="23" t="str">
        <f>IF('Score joueurs'!A7="","", 'Score joueurs'!A7)</f>
        <v/>
      </c>
      <c r="B7" s="27"/>
      <c r="C7" s="28"/>
      <c r="D7" s="27"/>
      <c r="E7" s="28"/>
      <c r="F7" s="27"/>
      <c r="G7" s="28"/>
      <c r="H7" s="27"/>
      <c r="I7" s="28"/>
      <c r="J7" s="27"/>
      <c r="K7" s="28"/>
      <c r="L7" s="27"/>
      <c r="M7" s="28"/>
      <c r="N7" s="27"/>
      <c r="O7" s="28"/>
      <c r="P7" s="27"/>
      <c r="Q7" s="28"/>
      <c r="R7" s="27"/>
      <c r="S7" s="28"/>
      <c r="T7" s="27"/>
      <c r="U7" s="28"/>
      <c r="V7" s="27"/>
      <c r="W7" s="28"/>
      <c r="X7" s="27"/>
      <c r="Y7" s="28"/>
      <c r="Z7" s="27"/>
      <c r="AA7" s="28"/>
      <c r="AB7" s="27"/>
      <c r="AC7" s="28"/>
      <c r="AD7" s="27"/>
      <c r="AE7" s="28"/>
      <c r="AF7" s="27"/>
      <c r="AG7" s="28"/>
      <c r="AH7" s="27"/>
      <c r="AI7" s="28"/>
      <c r="AJ7" s="27"/>
      <c r="AK7" s="28"/>
      <c r="AL7" s="27"/>
      <c r="AM7" s="28"/>
      <c r="AN7" s="27"/>
      <c r="AO7" s="28"/>
      <c r="AP7" s="11" t="str">
        <f t="shared" si="0"/>
        <v/>
      </c>
      <c r="AQ7" s="31" t="str">
        <f t="shared" si="1"/>
        <v/>
      </c>
      <c r="AR7" s="35" t="str">
        <f>IF(AQ7 &lt;&gt; "", COUNTIF(AQ2:AQ33, "&gt;0") -AQ7 +1, "")</f>
        <v/>
      </c>
    </row>
    <row r="8" spans="1:44" x14ac:dyDescent="0.25">
      <c r="A8" s="23" t="str">
        <f>IF('Score joueurs'!A8="","", 'Score joueurs'!A8)</f>
        <v/>
      </c>
      <c r="B8" s="27"/>
      <c r="C8" s="28"/>
      <c r="D8" s="27"/>
      <c r="E8" s="28"/>
      <c r="F8" s="27"/>
      <c r="G8" s="28"/>
      <c r="H8" s="27"/>
      <c r="I8" s="28"/>
      <c r="J8" s="27"/>
      <c r="K8" s="28"/>
      <c r="L8" s="27"/>
      <c r="M8" s="28"/>
      <c r="N8" s="27"/>
      <c r="O8" s="28"/>
      <c r="P8" s="27"/>
      <c r="Q8" s="28"/>
      <c r="R8" s="27"/>
      <c r="S8" s="28"/>
      <c r="T8" s="27"/>
      <c r="U8" s="28"/>
      <c r="V8" s="27"/>
      <c r="W8" s="28"/>
      <c r="X8" s="27"/>
      <c r="Y8" s="28"/>
      <c r="Z8" s="27"/>
      <c r="AA8" s="28"/>
      <c r="AB8" s="27"/>
      <c r="AC8" s="28"/>
      <c r="AD8" s="27"/>
      <c r="AE8" s="28"/>
      <c r="AF8" s="27"/>
      <c r="AG8" s="28"/>
      <c r="AH8" s="27"/>
      <c r="AI8" s="28"/>
      <c r="AJ8" s="27"/>
      <c r="AK8" s="28"/>
      <c r="AL8" s="27"/>
      <c r="AM8" s="28"/>
      <c r="AN8" s="27"/>
      <c r="AO8" s="28"/>
      <c r="AP8" s="11" t="str">
        <f t="shared" si="0"/>
        <v/>
      </c>
      <c r="AQ8" s="31" t="str">
        <f t="shared" si="1"/>
        <v/>
      </c>
      <c r="AR8" s="35" t="str">
        <f>IF(AQ8 &lt;&gt; "", COUNTIF(AQ2:AQ33, "&gt;0") -AQ8 +1, "")</f>
        <v/>
      </c>
    </row>
    <row r="9" spans="1:44" x14ac:dyDescent="0.25">
      <c r="A9" s="23" t="str">
        <f>IF('Score joueurs'!A9="","", 'Score joueurs'!A9)</f>
        <v/>
      </c>
      <c r="B9" s="27"/>
      <c r="C9" s="28"/>
      <c r="D9" s="27"/>
      <c r="E9" s="28"/>
      <c r="F9" s="27"/>
      <c r="G9" s="28"/>
      <c r="H9" s="27"/>
      <c r="I9" s="28"/>
      <c r="J9" s="27"/>
      <c r="K9" s="28"/>
      <c r="L9" s="27"/>
      <c r="M9" s="28"/>
      <c r="N9" s="27"/>
      <c r="O9" s="28"/>
      <c r="P9" s="27"/>
      <c r="Q9" s="28"/>
      <c r="R9" s="27"/>
      <c r="S9" s="28"/>
      <c r="T9" s="27"/>
      <c r="U9" s="28"/>
      <c r="V9" s="27"/>
      <c r="W9" s="28"/>
      <c r="X9" s="27"/>
      <c r="Y9" s="28"/>
      <c r="Z9" s="27"/>
      <c r="AA9" s="28"/>
      <c r="AB9" s="27"/>
      <c r="AC9" s="28"/>
      <c r="AD9" s="27"/>
      <c r="AE9" s="28"/>
      <c r="AF9" s="27"/>
      <c r="AG9" s="28"/>
      <c r="AH9" s="27"/>
      <c r="AI9" s="28"/>
      <c r="AJ9" s="27"/>
      <c r="AK9" s="28"/>
      <c r="AL9" s="27"/>
      <c r="AM9" s="28"/>
      <c r="AN9" s="27"/>
      <c r="AO9" s="28"/>
      <c r="AP9" s="11" t="str">
        <f t="shared" si="0"/>
        <v/>
      </c>
      <c r="AQ9" s="31" t="str">
        <f t="shared" si="1"/>
        <v/>
      </c>
      <c r="AR9" s="35" t="str">
        <f>IF(AQ9 &lt;&gt; "", COUNTIF(AQ2:AQ33, "&gt;0") -AQ9 +1, "")</f>
        <v/>
      </c>
    </row>
    <row r="10" spans="1:44" x14ac:dyDescent="0.25">
      <c r="A10" s="23" t="str">
        <f>IF('Score joueurs'!A10="","", 'Score joueurs'!A10)</f>
        <v/>
      </c>
      <c r="B10" s="27"/>
      <c r="C10" s="28"/>
      <c r="D10" s="27"/>
      <c r="E10" s="28"/>
      <c r="F10" s="27"/>
      <c r="G10" s="28"/>
      <c r="H10" s="27"/>
      <c r="I10" s="28"/>
      <c r="J10" s="27"/>
      <c r="K10" s="28"/>
      <c r="L10" s="27"/>
      <c r="M10" s="28"/>
      <c r="N10" s="27"/>
      <c r="O10" s="28"/>
      <c r="P10" s="27"/>
      <c r="Q10" s="28"/>
      <c r="R10" s="27"/>
      <c r="S10" s="28"/>
      <c r="T10" s="27"/>
      <c r="U10" s="28"/>
      <c r="V10" s="27"/>
      <c r="W10" s="28"/>
      <c r="X10" s="27"/>
      <c r="Y10" s="28"/>
      <c r="Z10" s="27"/>
      <c r="AA10" s="28"/>
      <c r="AB10" s="27"/>
      <c r="AC10" s="28"/>
      <c r="AD10" s="27"/>
      <c r="AE10" s="28"/>
      <c r="AF10" s="27"/>
      <c r="AG10" s="28"/>
      <c r="AH10" s="27"/>
      <c r="AI10" s="28"/>
      <c r="AJ10" s="27"/>
      <c r="AK10" s="28"/>
      <c r="AL10" s="27"/>
      <c r="AM10" s="28"/>
      <c r="AN10" s="27"/>
      <c r="AO10" s="28"/>
      <c r="AP10" s="11" t="str">
        <f t="shared" si="0"/>
        <v/>
      </c>
      <c r="AQ10" s="31" t="str">
        <f t="shared" si="1"/>
        <v/>
      </c>
      <c r="AR10" s="35" t="str">
        <f>IF(AQ10 &lt;&gt; "", COUNTIF(AQ2:AQ33, "&gt;0") -AQ10 +1, "")</f>
        <v/>
      </c>
    </row>
    <row r="11" spans="1:44" x14ac:dyDescent="0.25">
      <c r="A11" s="23" t="str">
        <f>IF('Score joueurs'!A11="","", 'Score joueurs'!A11)</f>
        <v/>
      </c>
      <c r="B11" s="27"/>
      <c r="C11" s="28"/>
      <c r="D11" s="27"/>
      <c r="E11" s="28"/>
      <c r="F11" s="27"/>
      <c r="G11" s="28"/>
      <c r="H11" s="27"/>
      <c r="I11" s="28"/>
      <c r="J11" s="27"/>
      <c r="K11" s="28"/>
      <c r="L11" s="27"/>
      <c r="M11" s="28"/>
      <c r="N11" s="27"/>
      <c r="O11" s="28"/>
      <c r="P11" s="27"/>
      <c r="Q11" s="28"/>
      <c r="R11" s="27"/>
      <c r="S11" s="28"/>
      <c r="T11" s="27"/>
      <c r="U11" s="28"/>
      <c r="V11" s="27"/>
      <c r="W11" s="28"/>
      <c r="X11" s="27"/>
      <c r="Y11" s="28"/>
      <c r="Z11" s="27"/>
      <c r="AA11" s="28"/>
      <c r="AB11" s="27"/>
      <c r="AC11" s="28"/>
      <c r="AD11" s="27"/>
      <c r="AE11" s="28"/>
      <c r="AF11" s="27"/>
      <c r="AG11" s="28"/>
      <c r="AH11" s="27"/>
      <c r="AI11" s="28"/>
      <c r="AJ11" s="27"/>
      <c r="AK11" s="28"/>
      <c r="AL11" s="27"/>
      <c r="AM11" s="28"/>
      <c r="AN11" s="27"/>
      <c r="AO11" s="28"/>
      <c r="AP11" s="11" t="str">
        <f t="shared" si="0"/>
        <v/>
      </c>
      <c r="AQ11" s="31" t="str">
        <f t="shared" si="1"/>
        <v/>
      </c>
      <c r="AR11" s="35" t="str">
        <f>IF(AQ11 &lt;&gt; "", COUNTIF(AQ2:AQ33, "&gt;0") -AQ11 +1, "")</f>
        <v/>
      </c>
    </row>
    <row r="12" spans="1:44" x14ac:dyDescent="0.25">
      <c r="A12" s="23" t="str">
        <f>IF('Score joueurs'!A12="","", 'Score joueurs'!A12)</f>
        <v/>
      </c>
      <c r="B12" s="27"/>
      <c r="C12" s="28"/>
      <c r="D12" s="27"/>
      <c r="E12" s="28"/>
      <c r="F12" s="27"/>
      <c r="G12" s="28"/>
      <c r="H12" s="27"/>
      <c r="I12" s="28"/>
      <c r="J12" s="27"/>
      <c r="K12" s="28"/>
      <c r="L12" s="27"/>
      <c r="M12" s="28"/>
      <c r="N12" s="27"/>
      <c r="O12" s="28"/>
      <c r="P12" s="27"/>
      <c r="Q12" s="28"/>
      <c r="R12" s="27"/>
      <c r="S12" s="28"/>
      <c r="T12" s="27"/>
      <c r="U12" s="28"/>
      <c r="V12" s="27"/>
      <c r="W12" s="28"/>
      <c r="X12" s="27"/>
      <c r="Y12" s="28"/>
      <c r="Z12" s="27"/>
      <c r="AA12" s="28"/>
      <c r="AB12" s="27"/>
      <c r="AC12" s="28"/>
      <c r="AD12" s="27"/>
      <c r="AE12" s="28"/>
      <c r="AF12" s="27"/>
      <c r="AG12" s="28"/>
      <c r="AH12" s="27"/>
      <c r="AI12" s="28"/>
      <c r="AJ12" s="27"/>
      <c r="AK12" s="28"/>
      <c r="AL12" s="27"/>
      <c r="AM12" s="28"/>
      <c r="AN12" s="27"/>
      <c r="AO12" s="28"/>
      <c r="AP12" s="11" t="str">
        <f t="shared" si="0"/>
        <v/>
      </c>
      <c r="AQ12" s="31" t="str">
        <f t="shared" si="1"/>
        <v/>
      </c>
      <c r="AR12" s="35" t="str">
        <f>IF(AQ12 &lt;&gt; "", COUNTIF(AQ2:AQ33, "&gt;0") -AQ12 +1, "")</f>
        <v/>
      </c>
    </row>
    <row r="13" spans="1:44" x14ac:dyDescent="0.25">
      <c r="A13" s="23" t="str">
        <f>IF('Score joueurs'!A13="","", 'Score joueurs'!A13)</f>
        <v/>
      </c>
      <c r="B13" s="27"/>
      <c r="C13" s="28"/>
      <c r="D13" s="27"/>
      <c r="E13" s="28"/>
      <c r="F13" s="27"/>
      <c r="G13" s="28"/>
      <c r="H13" s="27"/>
      <c r="I13" s="28"/>
      <c r="J13" s="27"/>
      <c r="K13" s="28"/>
      <c r="L13" s="27"/>
      <c r="M13" s="28"/>
      <c r="N13" s="27"/>
      <c r="O13" s="28"/>
      <c r="P13" s="27"/>
      <c r="Q13" s="28"/>
      <c r="R13" s="27"/>
      <c r="S13" s="28"/>
      <c r="T13" s="27"/>
      <c r="U13" s="28"/>
      <c r="V13" s="27"/>
      <c r="W13" s="28"/>
      <c r="X13" s="27"/>
      <c r="Y13" s="28"/>
      <c r="Z13" s="27"/>
      <c r="AA13" s="28"/>
      <c r="AB13" s="27"/>
      <c r="AC13" s="28"/>
      <c r="AD13" s="27"/>
      <c r="AE13" s="28"/>
      <c r="AF13" s="27"/>
      <c r="AG13" s="28"/>
      <c r="AH13" s="27"/>
      <c r="AI13" s="28"/>
      <c r="AJ13" s="27"/>
      <c r="AK13" s="28"/>
      <c r="AL13" s="27"/>
      <c r="AM13" s="28"/>
      <c r="AN13" s="27"/>
      <c r="AO13" s="28"/>
      <c r="AP13" s="11" t="str">
        <f t="shared" si="0"/>
        <v/>
      </c>
      <c r="AQ13" s="31" t="str">
        <f t="shared" si="1"/>
        <v/>
      </c>
      <c r="AR13" s="35" t="str">
        <f>IF(AQ13 &lt;&gt; "", COUNTIF(AQ2:AQ33, "&gt;0") -AQ13 +1, "")</f>
        <v/>
      </c>
    </row>
    <row r="14" spans="1:44" x14ac:dyDescent="0.25">
      <c r="A14" s="23" t="str">
        <f>IF('Score joueurs'!A14="","", 'Score joueurs'!A14)</f>
        <v/>
      </c>
      <c r="B14" s="27"/>
      <c r="C14" s="28"/>
      <c r="D14" s="27"/>
      <c r="E14" s="28"/>
      <c r="F14" s="27"/>
      <c r="G14" s="28"/>
      <c r="H14" s="27"/>
      <c r="I14" s="28"/>
      <c r="J14" s="27"/>
      <c r="K14" s="28"/>
      <c r="L14" s="27"/>
      <c r="M14" s="28"/>
      <c r="N14" s="27"/>
      <c r="O14" s="28"/>
      <c r="P14" s="27"/>
      <c r="Q14" s="28"/>
      <c r="R14" s="27"/>
      <c r="S14" s="28"/>
      <c r="T14" s="27"/>
      <c r="U14" s="28"/>
      <c r="V14" s="27"/>
      <c r="W14" s="28"/>
      <c r="X14" s="27"/>
      <c r="Y14" s="28"/>
      <c r="Z14" s="27"/>
      <c r="AA14" s="28"/>
      <c r="AB14" s="27"/>
      <c r="AC14" s="28"/>
      <c r="AD14" s="27"/>
      <c r="AE14" s="28"/>
      <c r="AF14" s="27"/>
      <c r="AG14" s="28"/>
      <c r="AH14" s="27"/>
      <c r="AI14" s="28"/>
      <c r="AJ14" s="27"/>
      <c r="AK14" s="28"/>
      <c r="AL14" s="27"/>
      <c r="AM14" s="28"/>
      <c r="AN14" s="27"/>
      <c r="AO14" s="28"/>
      <c r="AP14" s="11" t="str">
        <f t="shared" si="0"/>
        <v/>
      </c>
      <c r="AQ14" s="31" t="str">
        <f t="shared" si="1"/>
        <v/>
      </c>
      <c r="AR14" s="35" t="str">
        <f>IF(AQ14 &lt;&gt; "", COUNTIF(AQ2:AQ33, "&gt;0") -AQ14 +1, "")</f>
        <v/>
      </c>
    </row>
    <row r="15" spans="1:44" x14ac:dyDescent="0.25">
      <c r="A15" s="23" t="str">
        <f>IF('Score joueurs'!A15="","", 'Score joueurs'!A15)</f>
        <v/>
      </c>
      <c r="B15" s="27"/>
      <c r="C15" s="28"/>
      <c r="D15" s="27"/>
      <c r="E15" s="28"/>
      <c r="F15" s="27"/>
      <c r="G15" s="28"/>
      <c r="H15" s="27"/>
      <c r="I15" s="28"/>
      <c r="J15" s="27"/>
      <c r="K15" s="28"/>
      <c r="L15" s="27"/>
      <c r="M15" s="28"/>
      <c r="N15" s="27"/>
      <c r="O15" s="28"/>
      <c r="P15" s="27"/>
      <c r="Q15" s="28"/>
      <c r="R15" s="27"/>
      <c r="S15" s="28"/>
      <c r="T15" s="27"/>
      <c r="U15" s="28"/>
      <c r="V15" s="27"/>
      <c r="W15" s="28"/>
      <c r="X15" s="27"/>
      <c r="Y15" s="28"/>
      <c r="Z15" s="27"/>
      <c r="AA15" s="28"/>
      <c r="AB15" s="27"/>
      <c r="AC15" s="28"/>
      <c r="AD15" s="27"/>
      <c r="AE15" s="28"/>
      <c r="AF15" s="27"/>
      <c r="AG15" s="28"/>
      <c r="AH15" s="27"/>
      <c r="AI15" s="28"/>
      <c r="AJ15" s="27"/>
      <c r="AK15" s="28"/>
      <c r="AL15" s="27"/>
      <c r="AM15" s="28"/>
      <c r="AN15" s="27"/>
      <c r="AO15" s="28"/>
      <c r="AP15" s="11" t="str">
        <f t="shared" si="0"/>
        <v/>
      </c>
      <c r="AQ15" s="31" t="str">
        <f t="shared" si="1"/>
        <v/>
      </c>
      <c r="AR15" s="35" t="str">
        <f>IF(AQ15 &lt;&gt; "", COUNTIF(AQ2:AQ33, "&gt;0") -AQ15 +1, "")</f>
        <v/>
      </c>
    </row>
    <row r="16" spans="1:44" x14ac:dyDescent="0.25">
      <c r="A16" s="23" t="str">
        <f>IF('Score joueurs'!A16="","", 'Score joueurs'!A16)</f>
        <v/>
      </c>
      <c r="B16" s="27"/>
      <c r="C16" s="28"/>
      <c r="D16" s="27"/>
      <c r="E16" s="28"/>
      <c r="F16" s="27"/>
      <c r="G16" s="28"/>
      <c r="H16" s="27"/>
      <c r="I16" s="28"/>
      <c r="J16" s="27"/>
      <c r="K16" s="28"/>
      <c r="L16" s="27"/>
      <c r="M16" s="28"/>
      <c r="N16" s="27"/>
      <c r="O16" s="28"/>
      <c r="P16" s="27"/>
      <c r="Q16" s="28"/>
      <c r="R16" s="27"/>
      <c r="S16" s="28"/>
      <c r="T16" s="27"/>
      <c r="U16" s="28"/>
      <c r="V16" s="27"/>
      <c r="W16" s="28"/>
      <c r="X16" s="27"/>
      <c r="Y16" s="28"/>
      <c r="Z16" s="27"/>
      <c r="AA16" s="28"/>
      <c r="AB16" s="27"/>
      <c r="AC16" s="28"/>
      <c r="AD16" s="27"/>
      <c r="AE16" s="28"/>
      <c r="AF16" s="27"/>
      <c r="AG16" s="28"/>
      <c r="AH16" s="27"/>
      <c r="AI16" s="28"/>
      <c r="AJ16" s="27"/>
      <c r="AK16" s="28"/>
      <c r="AL16" s="27"/>
      <c r="AM16" s="28"/>
      <c r="AN16" s="27"/>
      <c r="AO16" s="28"/>
      <c r="AP16" s="11" t="str">
        <f t="shared" si="0"/>
        <v/>
      </c>
      <c r="AQ16" s="31" t="str">
        <f t="shared" si="1"/>
        <v/>
      </c>
      <c r="AR16" s="35" t="str">
        <f>IF(AQ16 &lt;&gt; "", COUNTIF(AQ2:AQ33, "&gt;0") -AQ16 +1, "")</f>
        <v/>
      </c>
    </row>
    <row r="17" spans="1:44" x14ac:dyDescent="0.25">
      <c r="A17" s="23" t="str">
        <f>IF('Score joueurs'!A17="","", 'Score joueurs'!A17)</f>
        <v/>
      </c>
      <c r="B17" s="27"/>
      <c r="C17" s="28"/>
      <c r="D17" s="27"/>
      <c r="E17" s="28"/>
      <c r="F17" s="27"/>
      <c r="G17" s="28"/>
      <c r="H17" s="27"/>
      <c r="I17" s="28"/>
      <c r="J17" s="27"/>
      <c r="K17" s="28"/>
      <c r="L17" s="27"/>
      <c r="M17" s="28"/>
      <c r="N17" s="27"/>
      <c r="O17" s="28"/>
      <c r="P17" s="27"/>
      <c r="Q17" s="28"/>
      <c r="R17" s="27"/>
      <c r="S17" s="28"/>
      <c r="T17" s="27"/>
      <c r="U17" s="28"/>
      <c r="V17" s="27"/>
      <c r="W17" s="28"/>
      <c r="X17" s="27"/>
      <c r="Y17" s="28"/>
      <c r="Z17" s="27"/>
      <c r="AA17" s="28"/>
      <c r="AB17" s="27"/>
      <c r="AC17" s="28"/>
      <c r="AD17" s="27"/>
      <c r="AE17" s="28"/>
      <c r="AF17" s="27"/>
      <c r="AG17" s="28"/>
      <c r="AH17" s="27"/>
      <c r="AI17" s="28"/>
      <c r="AJ17" s="27"/>
      <c r="AK17" s="28"/>
      <c r="AL17" s="27"/>
      <c r="AM17" s="28"/>
      <c r="AN17" s="27"/>
      <c r="AO17" s="28"/>
      <c r="AP17" s="11" t="str">
        <f t="shared" si="0"/>
        <v/>
      </c>
      <c r="AQ17" s="31" t="str">
        <f t="shared" si="1"/>
        <v/>
      </c>
      <c r="AR17" s="35" t="str">
        <f>IF(AQ17 &lt;&gt; "", COUNTIF(AQ2:AQ33, "&gt;0") -AQ17 +1, "")</f>
        <v/>
      </c>
    </row>
    <row r="18" spans="1:44" x14ac:dyDescent="0.25">
      <c r="A18" s="23" t="str">
        <f>IF('Score joueurs'!A18="","", 'Score joueurs'!A18)</f>
        <v/>
      </c>
      <c r="B18" s="27"/>
      <c r="C18" s="28"/>
      <c r="D18" s="27"/>
      <c r="E18" s="28"/>
      <c r="F18" s="27"/>
      <c r="G18" s="28"/>
      <c r="H18" s="27"/>
      <c r="I18" s="28"/>
      <c r="J18" s="27"/>
      <c r="K18" s="28"/>
      <c r="L18" s="27"/>
      <c r="M18" s="28"/>
      <c r="N18" s="27"/>
      <c r="O18" s="28"/>
      <c r="P18" s="27"/>
      <c r="Q18" s="28"/>
      <c r="R18" s="27"/>
      <c r="S18" s="28"/>
      <c r="T18" s="27"/>
      <c r="U18" s="28"/>
      <c r="V18" s="27"/>
      <c r="W18" s="28"/>
      <c r="X18" s="27"/>
      <c r="Y18" s="28"/>
      <c r="Z18" s="27"/>
      <c r="AA18" s="28"/>
      <c r="AB18" s="27"/>
      <c r="AC18" s="28"/>
      <c r="AD18" s="27"/>
      <c r="AE18" s="28"/>
      <c r="AF18" s="27"/>
      <c r="AG18" s="28"/>
      <c r="AH18" s="27"/>
      <c r="AI18" s="28"/>
      <c r="AJ18" s="27"/>
      <c r="AK18" s="28"/>
      <c r="AL18" s="27"/>
      <c r="AM18" s="28"/>
      <c r="AN18" s="27"/>
      <c r="AO18" s="28"/>
      <c r="AP18" s="11" t="str">
        <f t="shared" si="0"/>
        <v/>
      </c>
      <c r="AQ18" s="31" t="str">
        <f t="shared" si="1"/>
        <v/>
      </c>
      <c r="AR18" s="35" t="str">
        <f>IF(AQ18 &lt;&gt; "", COUNTIF(AQ2:AQ33, "&gt;0") -AQ18 +1, "")</f>
        <v/>
      </c>
    </row>
    <row r="19" spans="1:44" x14ac:dyDescent="0.25">
      <c r="A19" s="23" t="str">
        <f>IF('Score joueurs'!A19="","", 'Score joueurs'!A19)</f>
        <v/>
      </c>
      <c r="B19" s="27"/>
      <c r="C19" s="28"/>
      <c r="D19" s="27"/>
      <c r="E19" s="28"/>
      <c r="F19" s="27"/>
      <c r="G19" s="28"/>
      <c r="H19" s="27"/>
      <c r="I19" s="28"/>
      <c r="J19" s="27"/>
      <c r="K19" s="28"/>
      <c r="L19" s="27"/>
      <c r="M19" s="28"/>
      <c r="N19" s="27"/>
      <c r="O19" s="28"/>
      <c r="P19" s="27"/>
      <c r="Q19" s="28"/>
      <c r="R19" s="27"/>
      <c r="S19" s="28"/>
      <c r="T19" s="27"/>
      <c r="U19" s="28"/>
      <c r="V19" s="27"/>
      <c r="W19" s="28"/>
      <c r="X19" s="27"/>
      <c r="Y19" s="28"/>
      <c r="Z19" s="27"/>
      <c r="AA19" s="28"/>
      <c r="AB19" s="27"/>
      <c r="AC19" s="28"/>
      <c r="AD19" s="27"/>
      <c r="AE19" s="28"/>
      <c r="AF19" s="27"/>
      <c r="AG19" s="28"/>
      <c r="AH19" s="27"/>
      <c r="AI19" s="28"/>
      <c r="AJ19" s="27"/>
      <c r="AK19" s="28"/>
      <c r="AL19" s="27"/>
      <c r="AM19" s="28"/>
      <c r="AN19" s="27"/>
      <c r="AO19" s="28"/>
      <c r="AP19" s="11" t="str">
        <f t="shared" si="0"/>
        <v/>
      </c>
      <c r="AQ19" s="31" t="str">
        <f t="shared" si="1"/>
        <v/>
      </c>
      <c r="AR19" s="35" t="str">
        <f>IF(AQ19 &lt;&gt; "", COUNTIF(AQ2:AQ33, "&gt;0") -AQ19 +1, "")</f>
        <v/>
      </c>
    </row>
    <row r="20" spans="1:44" x14ac:dyDescent="0.25">
      <c r="A20" s="23" t="str">
        <f>IF('Score joueurs'!A20="","", 'Score joueurs'!A20)</f>
        <v/>
      </c>
      <c r="B20" s="27"/>
      <c r="C20" s="28"/>
      <c r="D20" s="27"/>
      <c r="E20" s="28"/>
      <c r="F20" s="27"/>
      <c r="G20" s="28"/>
      <c r="H20" s="27"/>
      <c r="I20" s="28"/>
      <c r="J20" s="27"/>
      <c r="K20" s="28"/>
      <c r="L20" s="27"/>
      <c r="M20" s="28"/>
      <c r="N20" s="27"/>
      <c r="O20" s="28"/>
      <c r="P20" s="27"/>
      <c r="Q20" s="28"/>
      <c r="R20" s="27"/>
      <c r="S20" s="28"/>
      <c r="T20" s="27"/>
      <c r="U20" s="28"/>
      <c r="V20" s="27"/>
      <c r="W20" s="28"/>
      <c r="X20" s="27"/>
      <c r="Y20" s="28"/>
      <c r="Z20" s="27"/>
      <c r="AA20" s="28"/>
      <c r="AB20" s="27"/>
      <c r="AC20" s="28"/>
      <c r="AD20" s="27"/>
      <c r="AE20" s="28"/>
      <c r="AF20" s="27"/>
      <c r="AG20" s="28"/>
      <c r="AH20" s="27"/>
      <c r="AI20" s="28"/>
      <c r="AJ20" s="27"/>
      <c r="AK20" s="28"/>
      <c r="AL20" s="27"/>
      <c r="AM20" s="28"/>
      <c r="AN20" s="27"/>
      <c r="AO20" s="28"/>
      <c r="AP20" s="11" t="str">
        <f t="shared" si="0"/>
        <v/>
      </c>
      <c r="AQ20" s="31" t="str">
        <f t="shared" si="1"/>
        <v/>
      </c>
      <c r="AR20" s="35" t="str">
        <f>IF(AQ20 &lt;&gt; "", COUNTIF(AQ2:AQ33, "&gt;0") -AQ20 +1, "")</f>
        <v/>
      </c>
    </row>
    <row r="21" spans="1:44" x14ac:dyDescent="0.25">
      <c r="A21" s="23" t="str">
        <f>IF('Score joueurs'!A21="","", 'Score joueurs'!A21)</f>
        <v/>
      </c>
      <c r="B21" s="27"/>
      <c r="C21" s="28"/>
      <c r="D21" s="27"/>
      <c r="E21" s="28"/>
      <c r="F21" s="27"/>
      <c r="G21" s="28"/>
      <c r="H21" s="27"/>
      <c r="I21" s="28"/>
      <c r="J21" s="27"/>
      <c r="K21" s="28"/>
      <c r="L21" s="27"/>
      <c r="M21" s="28"/>
      <c r="N21" s="27"/>
      <c r="O21" s="28"/>
      <c r="P21" s="27"/>
      <c r="Q21" s="28"/>
      <c r="R21" s="27"/>
      <c r="S21" s="28"/>
      <c r="T21" s="27"/>
      <c r="U21" s="28"/>
      <c r="V21" s="27"/>
      <c r="W21" s="28"/>
      <c r="X21" s="27"/>
      <c r="Y21" s="28"/>
      <c r="Z21" s="27"/>
      <c r="AA21" s="28"/>
      <c r="AB21" s="27"/>
      <c r="AC21" s="28"/>
      <c r="AD21" s="27"/>
      <c r="AE21" s="28"/>
      <c r="AF21" s="27"/>
      <c r="AG21" s="28"/>
      <c r="AH21" s="27"/>
      <c r="AI21" s="28"/>
      <c r="AJ21" s="27"/>
      <c r="AK21" s="28"/>
      <c r="AL21" s="27"/>
      <c r="AM21" s="28"/>
      <c r="AN21" s="27"/>
      <c r="AO21" s="28"/>
      <c r="AP21" s="11" t="str">
        <f t="shared" si="0"/>
        <v/>
      </c>
      <c r="AQ21" s="31" t="str">
        <f t="shared" si="1"/>
        <v/>
      </c>
      <c r="AR21" s="35" t="str">
        <f>IF(AQ21 &lt;&gt; "", COUNTIF(AQ2:AQ33, "&gt;0") -AQ21 +1, "")</f>
        <v/>
      </c>
    </row>
    <row r="22" spans="1:44" x14ac:dyDescent="0.25">
      <c r="A22" s="23" t="str">
        <f>IF('Score joueurs'!A22="","", 'Score joueurs'!A22)</f>
        <v/>
      </c>
      <c r="B22" s="27"/>
      <c r="C22" s="28"/>
      <c r="D22" s="27"/>
      <c r="E22" s="28"/>
      <c r="F22" s="27"/>
      <c r="G22" s="28"/>
      <c r="H22" s="27"/>
      <c r="I22" s="28"/>
      <c r="J22" s="27"/>
      <c r="K22" s="28"/>
      <c r="L22" s="27"/>
      <c r="M22" s="28"/>
      <c r="N22" s="27"/>
      <c r="O22" s="28"/>
      <c r="P22" s="27"/>
      <c r="Q22" s="28"/>
      <c r="R22" s="27"/>
      <c r="S22" s="28"/>
      <c r="T22" s="27"/>
      <c r="U22" s="28"/>
      <c r="V22" s="27"/>
      <c r="W22" s="28"/>
      <c r="X22" s="27"/>
      <c r="Y22" s="28"/>
      <c r="Z22" s="27"/>
      <c r="AA22" s="28"/>
      <c r="AB22" s="27"/>
      <c r="AC22" s="28"/>
      <c r="AD22" s="27"/>
      <c r="AE22" s="28"/>
      <c r="AF22" s="27"/>
      <c r="AG22" s="28"/>
      <c r="AH22" s="27"/>
      <c r="AI22" s="28"/>
      <c r="AJ22" s="27"/>
      <c r="AK22" s="28"/>
      <c r="AL22" s="27"/>
      <c r="AM22" s="28"/>
      <c r="AN22" s="27"/>
      <c r="AO22" s="28"/>
      <c r="AP22" s="11" t="str">
        <f t="shared" si="0"/>
        <v/>
      </c>
      <c r="AQ22" s="31" t="str">
        <f t="shared" si="1"/>
        <v/>
      </c>
      <c r="AR22" s="35" t="str">
        <f>IF(AQ22 &lt;&gt; "", COUNTIF(AQ2:AQ33, "&gt;0") -AQ22 +1, "")</f>
        <v/>
      </c>
    </row>
    <row r="23" spans="1:44" x14ac:dyDescent="0.25">
      <c r="A23" s="23" t="str">
        <f>IF('Score joueurs'!A23="","", 'Score joueurs'!A23)</f>
        <v/>
      </c>
      <c r="B23" s="27"/>
      <c r="C23" s="28"/>
      <c r="D23" s="27"/>
      <c r="E23" s="28"/>
      <c r="F23" s="27"/>
      <c r="G23" s="28"/>
      <c r="H23" s="27"/>
      <c r="I23" s="28"/>
      <c r="J23" s="27"/>
      <c r="K23" s="28"/>
      <c r="L23" s="27"/>
      <c r="M23" s="28"/>
      <c r="N23" s="27"/>
      <c r="O23" s="28"/>
      <c r="P23" s="27"/>
      <c r="Q23" s="28"/>
      <c r="R23" s="27"/>
      <c r="S23" s="28"/>
      <c r="T23" s="27"/>
      <c r="U23" s="28"/>
      <c r="V23" s="27"/>
      <c r="W23" s="28"/>
      <c r="X23" s="27"/>
      <c r="Y23" s="28"/>
      <c r="Z23" s="27"/>
      <c r="AA23" s="28"/>
      <c r="AB23" s="27"/>
      <c r="AC23" s="28"/>
      <c r="AD23" s="27"/>
      <c r="AE23" s="28"/>
      <c r="AF23" s="27"/>
      <c r="AG23" s="28"/>
      <c r="AH23" s="27"/>
      <c r="AI23" s="28"/>
      <c r="AJ23" s="27"/>
      <c r="AK23" s="28"/>
      <c r="AL23" s="27"/>
      <c r="AM23" s="28"/>
      <c r="AN23" s="27"/>
      <c r="AO23" s="28"/>
      <c r="AP23" s="11" t="str">
        <f t="shared" si="0"/>
        <v/>
      </c>
      <c r="AQ23" s="31" t="str">
        <f t="shared" si="1"/>
        <v/>
      </c>
      <c r="AR23" s="35" t="str">
        <f>IF(AQ23 &lt;&gt; "", COUNTIF(AQ2:AQ33, "&gt;0") -AQ23 +1, "")</f>
        <v/>
      </c>
    </row>
    <row r="24" spans="1:44" x14ac:dyDescent="0.25">
      <c r="A24" s="23" t="str">
        <f>IF('Score joueurs'!A24="","", 'Score joueurs'!A24)</f>
        <v/>
      </c>
      <c r="B24" s="27"/>
      <c r="C24" s="28"/>
      <c r="D24" s="27"/>
      <c r="E24" s="28"/>
      <c r="F24" s="27"/>
      <c r="G24" s="28"/>
      <c r="H24" s="27"/>
      <c r="I24" s="28"/>
      <c r="J24" s="27"/>
      <c r="K24" s="28"/>
      <c r="L24" s="27"/>
      <c r="M24" s="28"/>
      <c r="N24" s="27"/>
      <c r="O24" s="28"/>
      <c r="P24" s="27"/>
      <c r="Q24" s="28"/>
      <c r="R24" s="27"/>
      <c r="S24" s="28"/>
      <c r="T24" s="27"/>
      <c r="U24" s="28"/>
      <c r="V24" s="27"/>
      <c r="W24" s="28"/>
      <c r="X24" s="27"/>
      <c r="Y24" s="28"/>
      <c r="Z24" s="27"/>
      <c r="AA24" s="28"/>
      <c r="AB24" s="27"/>
      <c r="AC24" s="28"/>
      <c r="AD24" s="27"/>
      <c r="AE24" s="28"/>
      <c r="AF24" s="27"/>
      <c r="AG24" s="28"/>
      <c r="AH24" s="27"/>
      <c r="AI24" s="28"/>
      <c r="AJ24" s="27"/>
      <c r="AK24" s="28"/>
      <c r="AL24" s="27"/>
      <c r="AM24" s="28"/>
      <c r="AN24" s="27"/>
      <c r="AO24" s="28"/>
      <c r="AP24" s="11" t="str">
        <f t="shared" si="0"/>
        <v/>
      </c>
      <c r="AQ24" s="31" t="str">
        <f t="shared" si="1"/>
        <v/>
      </c>
      <c r="AR24" s="35" t="str">
        <f>IF(AQ24 &lt;&gt; "", COUNTIF(AQ2:AQ33, "&gt;0") -AQ24 +1, "")</f>
        <v/>
      </c>
    </row>
    <row r="25" spans="1:44" x14ac:dyDescent="0.25">
      <c r="A25" s="23" t="str">
        <f>IF('Score joueurs'!A25="","", 'Score joueurs'!A25)</f>
        <v/>
      </c>
      <c r="B25" s="27"/>
      <c r="C25" s="28"/>
      <c r="D25" s="27"/>
      <c r="E25" s="28"/>
      <c r="F25" s="27"/>
      <c r="G25" s="28"/>
      <c r="H25" s="27"/>
      <c r="I25" s="28"/>
      <c r="J25" s="27"/>
      <c r="K25" s="28"/>
      <c r="L25" s="27"/>
      <c r="M25" s="28"/>
      <c r="N25" s="27"/>
      <c r="O25" s="28"/>
      <c r="P25" s="27"/>
      <c r="Q25" s="28"/>
      <c r="R25" s="27"/>
      <c r="S25" s="28"/>
      <c r="T25" s="27"/>
      <c r="U25" s="28"/>
      <c r="V25" s="27"/>
      <c r="W25" s="28"/>
      <c r="X25" s="27"/>
      <c r="Y25" s="28"/>
      <c r="Z25" s="27"/>
      <c r="AA25" s="28"/>
      <c r="AB25" s="27"/>
      <c r="AC25" s="28"/>
      <c r="AD25" s="27"/>
      <c r="AE25" s="28"/>
      <c r="AF25" s="27"/>
      <c r="AG25" s="28"/>
      <c r="AH25" s="27"/>
      <c r="AI25" s="28"/>
      <c r="AJ25" s="27"/>
      <c r="AK25" s="28"/>
      <c r="AL25" s="27"/>
      <c r="AM25" s="28"/>
      <c r="AN25" s="27"/>
      <c r="AO25" s="28"/>
      <c r="AP25" s="11" t="str">
        <f t="shared" si="0"/>
        <v/>
      </c>
      <c r="AQ25" s="31" t="str">
        <f t="shared" si="1"/>
        <v/>
      </c>
      <c r="AR25" s="35" t="str">
        <f>IF(AQ25 &lt;&gt; "", COUNTIF(AQ2:AQ33, "&gt;0") -AQ25 +1, "")</f>
        <v/>
      </c>
    </row>
    <row r="26" spans="1:44" x14ac:dyDescent="0.25">
      <c r="A26" s="23" t="str">
        <f>IF('Score joueurs'!A26="","", 'Score joueurs'!A26)</f>
        <v/>
      </c>
      <c r="B26" s="27"/>
      <c r="C26" s="28"/>
      <c r="D26" s="27"/>
      <c r="E26" s="28"/>
      <c r="F26" s="27"/>
      <c r="G26" s="28"/>
      <c r="H26" s="27"/>
      <c r="I26" s="28"/>
      <c r="J26" s="27"/>
      <c r="K26" s="28"/>
      <c r="L26" s="27"/>
      <c r="M26" s="28"/>
      <c r="N26" s="27"/>
      <c r="O26" s="28"/>
      <c r="P26" s="27"/>
      <c r="Q26" s="28"/>
      <c r="R26" s="27"/>
      <c r="S26" s="28"/>
      <c r="T26" s="27"/>
      <c r="U26" s="28"/>
      <c r="V26" s="27"/>
      <c r="W26" s="28"/>
      <c r="X26" s="27"/>
      <c r="Y26" s="28"/>
      <c r="Z26" s="27"/>
      <c r="AA26" s="28"/>
      <c r="AB26" s="27"/>
      <c r="AC26" s="28"/>
      <c r="AD26" s="27"/>
      <c r="AE26" s="28"/>
      <c r="AF26" s="27"/>
      <c r="AG26" s="28"/>
      <c r="AH26" s="27"/>
      <c r="AI26" s="28"/>
      <c r="AJ26" s="27"/>
      <c r="AK26" s="28"/>
      <c r="AL26" s="27"/>
      <c r="AM26" s="28"/>
      <c r="AN26" s="27"/>
      <c r="AO26" s="28"/>
      <c r="AP26" s="11" t="str">
        <f t="shared" si="0"/>
        <v/>
      </c>
      <c r="AQ26" s="31" t="str">
        <f t="shared" si="1"/>
        <v/>
      </c>
      <c r="AR26" s="35" t="str">
        <f>IF(AQ26 &lt;&gt; "", COUNTIF(AQ2:AQ33, "&gt;0") -AQ26 +1, "")</f>
        <v/>
      </c>
    </row>
    <row r="27" spans="1:44" x14ac:dyDescent="0.25">
      <c r="A27" s="23" t="str">
        <f>IF('Score joueurs'!A27="","", 'Score joueurs'!A27)</f>
        <v/>
      </c>
      <c r="B27" s="27"/>
      <c r="C27" s="28"/>
      <c r="D27" s="27"/>
      <c r="E27" s="28"/>
      <c r="F27" s="27"/>
      <c r="G27" s="28"/>
      <c r="H27" s="27"/>
      <c r="I27" s="28"/>
      <c r="J27" s="27"/>
      <c r="K27" s="28"/>
      <c r="L27" s="27"/>
      <c r="M27" s="28"/>
      <c r="N27" s="27"/>
      <c r="O27" s="28"/>
      <c r="P27" s="27"/>
      <c r="Q27" s="28"/>
      <c r="R27" s="27"/>
      <c r="S27" s="28"/>
      <c r="T27" s="27"/>
      <c r="U27" s="28"/>
      <c r="V27" s="27"/>
      <c r="W27" s="28"/>
      <c r="X27" s="27"/>
      <c r="Y27" s="28"/>
      <c r="Z27" s="27"/>
      <c r="AA27" s="28"/>
      <c r="AB27" s="27"/>
      <c r="AC27" s="28"/>
      <c r="AD27" s="27"/>
      <c r="AE27" s="28"/>
      <c r="AF27" s="27"/>
      <c r="AG27" s="28"/>
      <c r="AH27" s="27"/>
      <c r="AI27" s="28"/>
      <c r="AJ27" s="27"/>
      <c r="AK27" s="28"/>
      <c r="AL27" s="27"/>
      <c r="AM27" s="28"/>
      <c r="AN27" s="27"/>
      <c r="AO27" s="28"/>
      <c r="AP27" s="11" t="str">
        <f t="shared" si="0"/>
        <v/>
      </c>
      <c r="AQ27" s="31" t="str">
        <f t="shared" si="1"/>
        <v/>
      </c>
      <c r="AR27" s="35" t="str">
        <f>IF(AQ27 &lt;&gt; "", COUNTIF(AQ2:AQ33, "&gt;0") -AQ27 +1, "")</f>
        <v/>
      </c>
    </row>
    <row r="28" spans="1:44" x14ac:dyDescent="0.25">
      <c r="A28" s="23" t="str">
        <f>IF('Score joueurs'!A28="","", 'Score joueurs'!A28)</f>
        <v/>
      </c>
      <c r="B28" s="27"/>
      <c r="C28" s="28"/>
      <c r="D28" s="27"/>
      <c r="E28" s="28"/>
      <c r="F28" s="27"/>
      <c r="G28" s="28"/>
      <c r="H28" s="27"/>
      <c r="I28" s="28"/>
      <c r="J28" s="27"/>
      <c r="K28" s="28"/>
      <c r="L28" s="27"/>
      <c r="M28" s="28"/>
      <c r="N28" s="27"/>
      <c r="O28" s="28"/>
      <c r="P28" s="27"/>
      <c r="Q28" s="28"/>
      <c r="R28" s="27"/>
      <c r="S28" s="28"/>
      <c r="T28" s="27"/>
      <c r="U28" s="28"/>
      <c r="V28" s="27"/>
      <c r="W28" s="28"/>
      <c r="X28" s="27"/>
      <c r="Y28" s="28"/>
      <c r="Z28" s="27"/>
      <c r="AA28" s="28"/>
      <c r="AB28" s="27"/>
      <c r="AC28" s="28"/>
      <c r="AD28" s="27"/>
      <c r="AE28" s="28"/>
      <c r="AF28" s="27"/>
      <c r="AG28" s="28"/>
      <c r="AH28" s="27"/>
      <c r="AI28" s="28"/>
      <c r="AJ28" s="27"/>
      <c r="AK28" s="28"/>
      <c r="AL28" s="27"/>
      <c r="AM28" s="28"/>
      <c r="AN28" s="27"/>
      <c r="AO28" s="28"/>
      <c r="AP28" s="11" t="str">
        <f t="shared" si="0"/>
        <v/>
      </c>
      <c r="AQ28" s="31" t="str">
        <f t="shared" si="1"/>
        <v/>
      </c>
      <c r="AR28" s="35" t="str">
        <f>IF(AQ28 &lt;&gt; "", COUNTIF(AQ2:AQ33, "&gt;0") -AQ28 +1, "")</f>
        <v/>
      </c>
    </row>
    <row r="29" spans="1:44" x14ac:dyDescent="0.25">
      <c r="A29" s="23" t="str">
        <f>IF('Score joueurs'!A29="","", 'Score joueurs'!A29)</f>
        <v/>
      </c>
      <c r="B29" s="27"/>
      <c r="C29" s="28"/>
      <c r="D29" s="27"/>
      <c r="E29" s="28"/>
      <c r="F29" s="27"/>
      <c r="G29" s="28"/>
      <c r="H29" s="27"/>
      <c r="I29" s="28"/>
      <c r="J29" s="27"/>
      <c r="K29" s="28"/>
      <c r="L29" s="27"/>
      <c r="M29" s="28"/>
      <c r="N29" s="27"/>
      <c r="O29" s="28"/>
      <c r="P29" s="27"/>
      <c r="Q29" s="28"/>
      <c r="R29" s="27"/>
      <c r="S29" s="28"/>
      <c r="T29" s="27"/>
      <c r="U29" s="28"/>
      <c r="V29" s="27"/>
      <c r="W29" s="28"/>
      <c r="X29" s="27"/>
      <c r="Y29" s="28"/>
      <c r="Z29" s="27"/>
      <c r="AA29" s="28"/>
      <c r="AB29" s="27"/>
      <c r="AC29" s="28"/>
      <c r="AD29" s="27"/>
      <c r="AE29" s="28"/>
      <c r="AF29" s="27"/>
      <c r="AG29" s="28"/>
      <c r="AH29" s="27"/>
      <c r="AI29" s="28"/>
      <c r="AJ29" s="27"/>
      <c r="AK29" s="28"/>
      <c r="AL29" s="27"/>
      <c r="AM29" s="28"/>
      <c r="AN29" s="27"/>
      <c r="AO29" s="28"/>
      <c r="AP29" s="11" t="str">
        <f t="shared" si="0"/>
        <v/>
      </c>
      <c r="AQ29" s="31" t="str">
        <f t="shared" si="1"/>
        <v/>
      </c>
      <c r="AR29" s="35" t="str">
        <f>IF(AQ29 &lt;&gt; "", COUNTIF(AQ2:AQ33, "&gt;0") -AQ29 +1, "")</f>
        <v/>
      </c>
    </row>
    <row r="30" spans="1:44" x14ac:dyDescent="0.25">
      <c r="A30" s="23" t="str">
        <f>IF('Score joueurs'!A30="","", 'Score joueurs'!A30)</f>
        <v/>
      </c>
      <c r="B30" s="27"/>
      <c r="C30" s="28"/>
      <c r="D30" s="27"/>
      <c r="E30" s="28"/>
      <c r="F30" s="27"/>
      <c r="G30" s="28"/>
      <c r="H30" s="27"/>
      <c r="I30" s="28"/>
      <c r="J30" s="27"/>
      <c r="K30" s="28"/>
      <c r="L30" s="27"/>
      <c r="M30" s="28"/>
      <c r="N30" s="27"/>
      <c r="O30" s="28"/>
      <c r="P30" s="27"/>
      <c r="Q30" s="28"/>
      <c r="R30" s="27"/>
      <c r="S30" s="28"/>
      <c r="T30" s="27"/>
      <c r="U30" s="28"/>
      <c r="V30" s="27"/>
      <c r="W30" s="28"/>
      <c r="X30" s="27"/>
      <c r="Y30" s="28"/>
      <c r="Z30" s="27"/>
      <c r="AA30" s="28"/>
      <c r="AB30" s="27"/>
      <c r="AC30" s="28"/>
      <c r="AD30" s="27"/>
      <c r="AE30" s="28"/>
      <c r="AF30" s="27"/>
      <c r="AG30" s="28"/>
      <c r="AH30" s="27"/>
      <c r="AI30" s="28"/>
      <c r="AJ30" s="27"/>
      <c r="AK30" s="28"/>
      <c r="AL30" s="27"/>
      <c r="AM30" s="28"/>
      <c r="AN30" s="27"/>
      <c r="AO30" s="28"/>
      <c r="AP30" s="11" t="str">
        <f t="shared" si="0"/>
        <v/>
      </c>
      <c r="AQ30" s="31" t="str">
        <f t="shared" si="1"/>
        <v/>
      </c>
      <c r="AR30" s="35" t="str">
        <f>IF(AQ30 &lt;&gt; "", COUNTIF(AQ2:AQ33, "&gt;0") -AQ30 +1, "")</f>
        <v/>
      </c>
    </row>
    <row r="31" spans="1:44" x14ac:dyDescent="0.25">
      <c r="A31" s="43" t="str">
        <f>IF('Score joueurs'!A31="","", 'Score joueurs'!A31)</f>
        <v/>
      </c>
      <c r="B31" s="27"/>
      <c r="C31" s="28"/>
      <c r="D31" s="27"/>
      <c r="E31" s="28"/>
      <c r="F31" s="27"/>
      <c r="G31" s="28"/>
      <c r="H31" s="27"/>
      <c r="I31" s="28"/>
      <c r="J31" s="27"/>
      <c r="K31" s="28"/>
      <c r="L31" s="27"/>
      <c r="M31" s="28"/>
      <c r="N31" s="27"/>
      <c r="O31" s="28"/>
      <c r="P31" s="27"/>
      <c r="Q31" s="28"/>
      <c r="R31" s="27"/>
      <c r="S31" s="28"/>
      <c r="T31" s="27"/>
      <c r="U31" s="28"/>
      <c r="V31" s="27"/>
      <c r="W31" s="28"/>
      <c r="X31" s="27"/>
      <c r="Y31" s="28"/>
      <c r="Z31" s="27"/>
      <c r="AA31" s="28"/>
      <c r="AB31" s="27"/>
      <c r="AC31" s="28"/>
      <c r="AD31" s="27"/>
      <c r="AE31" s="28"/>
      <c r="AF31" s="27"/>
      <c r="AG31" s="28"/>
      <c r="AH31" s="27"/>
      <c r="AI31" s="28"/>
      <c r="AJ31" s="27"/>
      <c r="AK31" s="28"/>
      <c r="AL31" s="27"/>
      <c r="AM31" s="28"/>
      <c r="AN31" s="27"/>
      <c r="AO31" s="28"/>
      <c r="AP31" s="41" t="str">
        <f t="shared" si="0"/>
        <v/>
      </c>
      <c r="AQ31" s="31" t="str">
        <f t="shared" si="1"/>
        <v/>
      </c>
      <c r="AR31" s="35" t="str">
        <f>IF(AQ31 &lt;&gt; "", COUNTIF(AQ2:AQ33, "&gt;0") -AQ31 +1, "")</f>
        <v/>
      </c>
    </row>
    <row r="32" spans="1:44" x14ac:dyDescent="0.25">
      <c r="A32" s="43" t="str">
        <f>IF('Score joueurs'!A32="","", 'Score joueurs'!A32)</f>
        <v/>
      </c>
      <c r="B32" s="27"/>
      <c r="C32" s="28"/>
      <c r="D32" s="27"/>
      <c r="E32" s="28"/>
      <c r="F32" s="27"/>
      <c r="G32" s="28"/>
      <c r="H32" s="27"/>
      <c r="I32" s="28"/>
      <c r="J32" s="27"/>
      <c r="K32" s="28"/>
      <c r="L32" s="27"/>
      <c r="M32" s="28"/>
      <c r="N32" s="27"/>
      <c r="O32" s="28"/>
      <c r="P32" s="27"/>
      <c r="Q32" s="28"/>
      <c r="R32" s="27"/>
      <c r="S32" s="28"/>
      <c r="T32" s="27"/>
      <c r="U32" s="28"/>
      <c r="V32" s="27"/>
      <c r="W32" s="28"/>
      <c r="X32" s="27"/>
      <c r="Y32" s="28"/>
      <c r="Z32" s="27"/>
      <c r="AA32" s="28"/>
      <c r="AB32" s="27"/>
      <c r="AC32" s="28"/>
      <c r="AD32" s="27"/>
      <c r="AE32" s="28"/>
      <c r="AF32" s="27"/>
      <c r="AG32" s="28"/>
      <c r="AH32" s="27"/>
      <c r="AI32" s="28"/>
      <c r="AJ32" s="27"/>
      <c r="AK32" s="28"/>
      <c r="AL32" s="27"/>
      <c r="AM32" s="28"/>
      <c r="AN32" s="27"/>
      <c r="AO32" s="28"/>
      <c r="AP32" s="41" t="str">
        <f t="shared" ref="AP32:AP33" si="2">IF(B32&gt;0, B32-C32+D32-E32+F32-G32+H32-I32+J32-K32+L32-M32+N32-O32+P32-Q32+R32-S32+T32-U32+V32-W32+X32-Y32+Z32-AA32+AB32-AC32+AD32-AE32+AF32-AG32+AH32-AI32+AJ32-AK32+AL32-AM32+AN32-AO32, "")</f>
        <v/>
      </c>
      <c r="AQ32" s="31" t="str">
        <f t="shared" si="1"/>
        <v/>
      </c>
      <c r="AR32" s="35" t="str">
        <f>IF(AQ32 &lt;&gt; "", COUNTIF(AQ2:AQ33, "&gt;0") -AQ32 +1, "")</f>
        <v/>
      </c>
    </row>
    <row r="33" spans="1:44" ht="15.75" thickBot="1" x14ac:dyDescent="0.3">
      <c r="A33" s="42" t="str">
        <f>IF('Score joueurs'!A33="","", 'Score joueurs'!A33)</f>
        <v/>
      </c>
      <c r="B33" s="27"/>
      <c r="C33" s="28"/>
      <c r="D33" s="27"/>
      <c r="E33" s="28"/>
      <c r="F33" s="27"/>
      <c r="G33" s="28"/>
      <c r="H33" s="27"/>
      <c r="I33" s="28"/>
      <c r="J33" s="27"/>
      <c r="K33" s="28"/>
      <c r="L33" s="27"/>
      <c r="M33" s="28"/>
      <c r="N33" s="27"/>
      <c r="O33" s="28"/>
      <c r="P33" s="27"/>
      <c r="Q33" s="28"/>
      <c r="R33" s="27"/>
      <c r="S33" s="28"/>
      <c r="T33" s="27"/>
      <c r="U33" s="28"/>
      <c r="V33" s="27"/>
      <c r="W33" s="28"/>
      <c r="X33" s="27"/>
      <c r="Y33" s="28"/>
      <c r="Z33" s="27"/>
      <c r="AA33" s="28"/>
      <c r="AB33" s="27"/>
      <c r="AC33" s="28"/>
      <c r="AD33" s="27"/>
      <c r="AE33" s="28"/>
      <c r="AF33" s="27"/>
      <c r="AG33" s="28"/>
      <c r="AH33" s="27"/>
      <c r="AI33" s="28"/>
      <c r="AJ33" s="27"/>
      <c r="AK33" s="28"/>
      <c r="AL33" s="27"/>
      <c r="AM33" s="28"/>
      <c r="AN33" s="27"/>
      <c r="AO33" s="28"/>
      <c r="AP33" s="33" t="str">
        <f t="shared" si="2"/>
        <v/>
      </c>
      <c r="AQ33" s="31" t="str">
        <f t="shared" si="1"/>
        <v/>
      </c>
      <c r="AR33" s="35" t="str">
        <f>IF(AQ33 &lt;&gt; "", COUNTIF(AQ2:AQ33, "&gt;0") -AQ33 +1, "")</f>
        <v/>
      </c>
    </row>
    <row r="34" spans="1:44" ht="15.75" thickBot="1" x14ac:dyDescent="0.3">
      <c r="A34" s="5" t="s">
        <v>30</v>
      </c>
      <c r="B34" s="62" t="s">
        <v>2</v>
      </c>
      <c r="C34" s="63"/>
      <c r="D34" s="64" t="s">
        <v>3</v>
      </c>
      <c r="E34" s="65"/>
      <c r="F34" s="66" t="s">
        <v>4</v>
      </c>
      <c r="G34" s="67"/>
      <c r="H34" s="68" t="s">
        <v>5</v>
      </c>
      <c r="I34" s="69"/>
      <c r="J34" s="70" t="s">
        <v>6</v>
      </c>
      <c r="K34" s="71"/>
      <c r="L34" s="72" t="s">
        <v>7</v>
      </c>
      <c r="M34" s="73"/>
      <c r="N34" s="74" t="s">
        <v>8</v>
      </c>
      <c r="O34" s="75"/>
      <c r="P34" s="76" t="s">
        <v>9</v>
      </c>
      <c r="Q34" s="77"/>
      <c r="R34" s="78" t="s">
        <v>10</v>
      </c>
      <c r="S34" s="79"/>
      <c r="T34" s="80" t="s">
        <v>11</v>
      </c>
      <c r="U34" s="81"/>
      <c r="V34" s="82" t="s">
        <v>12</v>
      </c>
      <c r="W34" s="83"/>
      <c r="X34" s="60" t="s">
        <v>13</v>
      </c>
      <c r="Y34" s="61"/>
      <c r="Z34" s="88" t="s">
        <v>14</v>
      </c>
      <c r="AA34" s="89"/>
      <c r="AB34" s="90" t="s">
        <v>15</v>
      </c>
      <c r="AC34" s="91"/>
      <c r="AD34" s="92" t="s">
        <v>16</v>
      </c>
      <c r="AE34" s="93"/>
      <c r="AF34" s="94" t="s">
        <v>17</v>
      </c>
      <c r="AG34" s="95"/>
      <c r="AH34" s="96" t="s">
        <v>18</v>
      </c>
      <c r="AI34" s="97"/>
      <c r="AJ34" s="98" t="s">
        <v>19</v>
      </c>
      <c r="AK34" s="99"/>
      <c r="AL34" s="84" t="s">
        <v>20</v>
      </c>
      <c r="AM34" s="85"/>
      <c r="AN34" s="78" t="s">
        <v>21</v>
      </c>
      <c r="AO34" s="79"/>
      <c r="AP34" s="86"/>
      <c r="AQ34" s="87"/>
      <c r="AR34" s="34"/>
    </row>
    <row r="43" spans="1:44" x14ac:dyDescent="0.25">
      <c r="A43" t="s">
        <v>28</v>
      </c>
    </row>
    <row r="44" spans="1:44" x14ac:dyDescent="0.25">
      <c r="A44">
        <f>MIN(AP2:AP31)</f>
        <v>0</v>
      </c>
    </row>
    <row r="45" spans="1:44" x14ac:dyDescent="0.25">
      <c r="A45" t="s">
        <v>29</v>
      </c>
    </row>
    <row r="46" spans="1:44" x14ac:dyDescent="0.25">
      <c r="A46">
        <f>MAX(AP2:AP31)</f>
        <v>0</v>
      </c>
    </row>
    <row r="47" spans="1:44" x14ac:dyDescent="0.25">
      <c r="A47" t="s">
        <v>31</v>
      </c>
    </row>
  </sheetData>
  <mergeCells count="21">
    <mergeCell ref="X34:Y34"/>
    <mergeCell ref="B34:C34"/>
    <mergeCell ref="D34:E34"/>
    <mergeCell ref="F34:G34"/>
    <mergeCell ref="H34:I34"/>
    <mergeCell ref="J34:K34"/>
    <mergeCell ref="L34:M34"/>
    <mergeCell ref="N34:O34"/>
    <mergeCell ref="P34:Q34"/>
    <mergeCell ref="R34:S34"/>
    <mergeCell ref="T34:U34"/>
    <mergeCell ref="V34:W34"/>
    <mergeCell ref="AL34:AM34"/>
    <mergeCell ref="AN34:AO34"/>
    <mergeCell ref="AP34:AQ34"/>
    <mergeCell ref="Z34:AA34"/>
    <mergeCell ref="AB34:AC34"/>
    <mergeCell ref="AD34:AE34"/>
    <mergeCell ref="AF34:AG34"/>
    <mergeCell ref="AH34:AI34"/>
    <mergeCell ref="AJ34:AK3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</xdr:col>
                <xdr:colOff>9525</xdr:colOff>
                <xdr:row>34</xdr:row>
                <xdr:rowOff>9525</xdr:rowOff>
              </from>
              <to>
                <xdr:col>7</xdr:col>
                <xdr:colOff>9525</xdr:colOff>
                <xdr:row>37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Score joueurs</vt:lpstr>
      <vt:lpstr>Repas</vt:lpstr>
      <vt:lpstr>Counter Strike 2</vt:lpstr>
      <vt:lpstr>Teamfight tactics</vt:lpstr>
      <vt:lpstr>Prophunt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Eoran</dc:creator>
  <cp:lastModifiedBy>Eoran</cp:lastModifiedBy>
  <dcterms:created xsi:type="dcterms:W3CDTF">2024-04-02T09:42:45Z</dcterms:created>
  <dcterms:modified xsi:type="dcterms:W3CDTF">2024-04-04T21:07:20Z</dcterms:modified>
</cp:coreProperties>
</file>